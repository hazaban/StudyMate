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课打卡表" sheetId="1" state="visible" r:id="rId1"/>
    <sheet xmlns:r="http://schemas.openxmlformats.org/officeDocument/2006/relationships" name="辅助_视频库" sheetId="2" state="hidden" r:id="rId2"/>
    <sheet xmlns:r="http://schemas.openxmlformats.org/officeDocument/2006/relationships" name="辅助_时长查找" sheetId="3" state="hidden" r:id="rId3"/>
    <sheet xmlns:r="http://schemas.openxmlformats.org/officeDocument/2006/relationships" name="使用说明" sheetId="4" state="visible" r:id="rId4"/>
  </sheets>
  <definedNames>
    <definedName name="组成原理强化">辅助_视频库!$A$2:$A$28</definedName>
    <definedName name="操作系统强化">辅助_视频库!$B$2:$B$29</definedName>
    <definedName name="计网强化">辅助_视频库!$C$2:$C$30</definedName>
    <definedName name="数据结构强化">辅助_视频库!$D$2:$D$38</definedName>
    <definedName name="真题分类">辅助_视频库!$E$2:$E$63</definedName>
    <definedName name="AllNames">辅助_时长查找!$A$2:$A$1000</definedName>
    <definedName name="AllDurs">辅助_时长查找!$B$2:$B$1000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i val="1"/>
      <color rgb="00595959"/>
      <sz val="9"/>
    </font>
    <font>
      <name val="Microsoft YaHei"/>
      <b val="1"/>
      <color rgb="00FFFFFF"/>
      <sz val="11"/>
    </font>
    <font>
      <name val="Microsoft YaHei"/>
      <b val="1"/>
      <color rgb="00FFFFFF"/>
      <sz val="12"/>
    </font>
    <font>
      <name val="Microsoft YaHei"/>
      <sz val="10"/>
    </font>
    <font>
      <name val="Microsoft YaHei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10" customWidth="1" min="4" max="4"/>
    <col width="12" customWidth="1" min="5" max="5"/>
    <col width="4" customWidth="1" min="6" max="6"/>
  </cols>
  <sheetData>
    <row r="1" ht="30" customHeight="1">
      <c r="A1" s="1" t="inlineStr">
        <is>
          <t>27考研408强化课 · 自主选课打卡清单（选科目→选视频→时长自动带出）</t>
        </is>
      </c>
    </row>
    <row r="2" ht="22" customHeight="1">
      <c r="A2" s="2" t="inlineStr">
        <is>
          <t>用法：①在B列下拉选科目 → ②在C列下拉会列出该科目全部视频 → ③时长自动显示 → ④看课后在A列填1标记完成</t>
        </is>
      </c>
    </row>
    <row r="3" ht="24" customHeight="1">
      <c r="A3" s="3" t="inlineStr">
        <is>
          <t>完成</t>
        </is>
      </c>
      <c r="B3" s="3" t="inlineStr">
        <is>
          <t>科目</t>
        </is>
      </c>
      <c r="C3" s="3" t="inlineStr">
        <is>
          <t>视频名称</t>
        </is>
      </c>
      <c r="D3" s="3" t="inlineStr">
        <is>
          <t>时长(分)</t>
        </is>
      </c>
      <c r="E3" s="3" t="inlineStr">
        <is>
          <t>当日累计</t>
        </is>
      </c>
      <c r="F3" s="3" t="inlineStr"/>
    </row>
    <row r="4" ht="22" customHeight="1">
      <c r="A4" s="4" t="n"/>
      <c r="B4" s="5" t="inlineStr">
        <is>
          <t>第1天</t>
        </is>
      </c>
      <c r="C4" s="13" t="n"/>
      <c r="D4" s="4">
        <f>IF($C4="","",ROUND(INDEX(AllDurs,MATCH($C4,AllNames,0))/60,1))</f>
        <v/>
      </c>
      <c r="E4" s="4" t="n"/>
    </row>
    <row r="5" ht="18" customHeight="1">
      <c r="A5" s="6" t="inlineStr"/>
      <c r="B5" s="6" t="inlineStr"/>
      <c r="C5" s="7" t="inlineStr"/>
      <c r="D5" s="6">
        <f>IF($C5="","",ROUND(INDEX(AllDurs,MATCH($C5,AllNames,0))/60,1))</f>
        <v/>
      </c>
      <c r="E5" s="6" t="inlineStr"/>
      <c r="F5" s="8" t="n"/>
    </row>
    <row r="6" ht="18" customHeight="1">
      <c r="A6" s="6" t="inlineStr"/>
      <c r="B6" s="6" t="inlineStr"/>
      <c r="C6" s="7" t="inlineStr"/>
      <c r="D6" s="6">
        <f>IF($C6="","",ROUND(INDEX(AllDurs,MATCH($C6,AllNames,0))/60,1))</f>
        <v/>
      </c>
      <c r="E6" s="6" t="inlineStr"/>
      <c r="F6" s="8" t="n"/>
    </row>
    <row r="7" ht="18" customHeight="1">
      <c r="A7" s="6" t="inlineStr"/>
      <c r="B7" s="6" t="inlineStr"/>
      <c r="C7" s="7" t="inlineStr"/>
      <c r="D7" s="6">
        <f>IF($C7="","",ROUND(INDEX(AllDurs,MATCH($C7,AllNames,0))/60,1))</f>
        <v/>
      </c>
      <c r="E7" s="6" t="inlineStr"/>
      <c r="F7" s="8" t="n"/>
    </row>
    <row r="8" ht="18" customHeight="1">
      <c r="A8" s="6" t="inlineStr"/>
      <c r="B8" s="6" t="inlineStr"/>
      <c r="C8" s="7" t="inlineStr"/>
      <c r="D8" s="6">
        <f>IF($C8="","",ROUND(INDEX(AllDurs,MATCH($C8,AllNames,0))/60,1))</f>
        <v/>
      </c>
      <c r="E8" s="6" t="inlineStr"/>
      <c r="F8" s="8" t="n"/>
    </row>
    <row r="9" ht="18" customHeight="1">
      <c r="A9" s="6" t="inlineStr"/>
      <c r="B9" s="6" t="inlineStr"/>
      <c r="C9" s="7" t="inlineStr"/>
      <c r="D9" s="6">
        <f>IF($C9="","",ROUND(INDEX(AllDurs,MATCH($C9,AllNames,0))/60,1))</f>
        <v/>
      </c>
      <c r="E9" s="6" t="inlineStr"/>
      <c r="F9" s="8" t="n"/>
    </row>
    <row r="10" ht="18" customHeight="1">
      <c r="A10" s="6" t="inlineStr"/>
      <c r="B10" s="6" t="inlineStr"/>
      <c r="C10" s="7" t="inlineStr"/>
      <c r="D10" s="6">
        <f>IF($C10="","",ROUND(INDEX(AllDurs,MATCH($C10,AllNames,0))/60,1))</f>
        <v/>
      </c>
      <c r="E10" s="6" t="inlineStr"/>
      <c r="F10" s="8" t="n"/>
    </row>
    <row r="11" ht="18" customHeight="1">
      <c r="A11" s="6" t="inlineStr"/>
      <c r="B11" s="6" t="inlineStr"/>
      <c r="C11" s="7" t="inlineStr"/>
      <c r="D11" s="6">
        <f>IF($C11="","",ROUND(INDEX(AllDurs,MATCH($C11,AllNames,0))/60,1))</f>
        <v/>
      </c>
      <c r="E11" s="6" t="inlineStr"/>
      <c r="F11" s="8" t="n"/>
    </row>
    <row r="12" ht="18" customHeight="1">
      <c r="A12" s="6" t="inlineStr"/>
      <c r="B12" s="6" t="inlineStr"/>
      <c r="C12" s="7" t="inlineStr"/>
      <c r="D12" s="6">
        <f>IF($C12="","",ROUND(INDEX(AllDurs,MATCH($C12,AllNames,0))/60,1))</f>
        <v/>
      </c>
      <c r="E12" s="6" t="inlineStr"/>
      <c r="F12" s="8" t="n"/>
    </row>
    <row r="13" ht="18" customHeight="1">
      <c r="A13" s="6" t="inlineStr"/>
      <c r="B13" s="6" t="inlineStr"/>
      <c r="C13" s="7" t="inlineStr"/>
      <c r="D13" s="6">
        <f>IF($C13="","",ROUND(INDEX(AllDurs,MATCH($C13,AllNames,0))/60,1))</f>
        <v/>
      </c>
      <c r="E13" s="6" t="inlineStr"/>
      <c r="F13" s="8" t="n"/>
    </row>
    <row r="14" ht="18" customHeight="1">
      <c r="A14" s="6" t="inlineStr"/>
      <c r="B14" s="6" t="inlineStr"/>
      <c r="C14" s="7" t="inlineStr"/>
      <c r="D14" s="6" t="inlineStr"/>
      <c r="E14" s="6" t="inlineStr"/>
      <c r="F14" s="8" t="n"/>
    </row>
    <row r="15" ht="20" customHeight="1">
      <c r="A15" s="8" t="n"/>
      <c r="B15" s="9" t="inlineStr">
        <is>
          <t>当日已看时长</t>
        </is>
      </c>
      <c r="C15" s="13" t="n"/>
      <c r="D15" s="14">
        <f>SUMIF($A$5:$A$14,1,$D$5:$D$14)</f>
        <v/>
      </c>
      <c r="E15" s="10" t="n"/>
      <c r="F15" s="10" t="n"/>
    </row>
    <row r="16" ht="22" customHeight="1">
      <c r="A16" s="4" t="n"/>
      <c r="B16" s="5" t="inlineStr">
        <is>
          <t>第2天</t>
        </is>
      </c>
      <c r="C16" s="13" t="n"/>
      <c r="D16" s="4">
        <f>IF($C16="","",ROUND(INDEX(AllDurs,MATCH($C16,AllNames,0))/60,1))</f>
        <v/>
      </c>
      <c r="E16" s="4" t="n"/>
    </row>
    <row r="17" ht="18" customHeight="1">
      <c r="A17" s="6" t="inlineStr"/>
      <c r="B17" s="6" t="inlineStr"/>
      <c r="C17" s="7" t="inlineStr"/>
      <c r="D17" s="6">
        <f>IF($C17="","",ROUND(INDEX(AllDurs,MATCH($C17,AllNames,0))/60,1))</f>
        <v/>
      </c>
      <c r="E17" s="6" t="inlineStr"/>
      <c r="F17" s="8" t="n"/>
    </row>
    <row r="18" ht="18" customHeight="1">
      <c r="A18" s="6" t="inlineStr"/>
      <c r="B18" s="6" t="inlineStr"/>
      <c r="C18" s="7" t="inlineStr"/>
      <c r="D18" s="6">
        <f>IF($C18="","",ROUND(INDEX(AllDurs,MATCH($C18,AllNames,0))/60,1))</f>
        <v/>
      </c>
      <c r="E18" s="6" t="inlineStr"/>
      <c r="F18" s="8" t="n"/>
    </row>
    <row r="19" ht="18" customHeight="1">
      <c r="A19" s="6" t="inlineStr"/>
      <c r="B19" s="6" t="inlineStr"/>
      <c r="C19" s="7" t="inlineStr"/>
      <c r="D19" s="6">
        <f>IF($C19="","",ROUND(INDEX(AllDurs,MATCH($C19,AllNames,0))/60,1))</f>
        <v/>
      </c>
      <c r="E19" s="6" t="inlineStr"/>
      <c r="F19" s="8" t="n"/>
    </row>
    <row r="20" ht="18" customHeight="1">
      <c r="A20" s="6" t="inlineStr"/>
      <c r="B20" s="6" t="inlineStr"/>
      <c r="C20" s="7" t="inlineStr"/>
      <c r="D20" s="6">
        <f>IF($C20="","",ROUND(INDEX(AllDurs,MATCH($C20,AllNames,0))/60,1))</f>
        <v/>
      </c>
      <c r="E20" s="6" t="inlineStr"/>
      <c r="F20" s="8" t="n"/>
    </row>
    <row r="21" ht="18" customHeight="1">
      <c r="A21" s="6" t="inlineStr"/>
      <c r="B21" s="6" t="inlineStr"/>
      <c r="C21" s="7" t="inlineStr"/>
      <c r="D21" s="6">
        <f>IF($C21="","",ROUND(INDEX(AllDurs,MATCH($C21,AllNames,0))/60,1))</f>
        <v/>
      </c>
      <c r="E21" s="6" t="inlineStr"/>
      <c r="F21" s="8" t="n"/>
    </row>
    <row r="22" ht="18" customHeight="1">
      <c r="A22" s="6" t="inlineStr"/>
      <c r="B22" s="6" t="inlineStr"/>
      <c r="C22" s="7" t="inlineStr"/>
      <c r="D22" s="6">
        <f>IF($C22="","",ROUND(INDEX(AllDurs,MATCH($C22,AllNames,0))/60,1))</f>
        <v/>
      </c>
      <c r="E22" s="6" t="inlineStr"/>
      <c r="F22" s="8" t="n"/>
    </row>
    <row r="23" ht="18" customHeight="1">
      <c r="A23" s="6" t="inlineStr"/>
      <c r="B23" s="6" t="inlineStr"/>
      <c r="C23" s="7" t="inlineStr"/>
      <c r="D23" s="6">
        <f>IF($C23="","",ROUND(INDEX(AllDurs,MATCH($C23,AllNames,0))/60,1))</f>
        <v/>
      </c>
      <c r="E23" s="6" t="inlineStr"/>
      <c r="F23" s="8" t="n"/>
    </row>
    <row r="24" ht="18" customHeight="1">
      <c r="A24" s="6" t="inlineStr"/>
      <c r="B24" s="6" t="inlineStr"/>
      <c r="C24" s="7" t="inlineStr"/>
      <c r="D24" s="6">
        <f>IF($C24="","",ROUND(INDEX(AllDurs,MATCH($C24,AllNames,0))/60,1))</f>
        <v/>
      </c>
      <c r="E24" s="6" t="inlineStr"/>
      <c r="F24" s="8" t="n"/>
    </row>
    <row r="25" ht="18" customHeight="1">
      <c r="A25" s="6" t="inlineStr"/>
      <c r="B25" s="6" t="inlineStr"/>
      <c r="C25" s="7" t="inlineStr"/>
      <c r="D25" s="6">
        <f>IF($C25="","",ROUND(INDEX(AllDurs,MATCH($C25,AllNames,0))/60,1))</f>
        <v/>
      </c>
      <c r="E25" s="6" t="inlineStr"/>
      <c r="F25" s="8" t="n"/>
    </row>
    <row r="26" ht="18" customHeight="1">
      <c r="A26" s="6" t="inlineStr"/>
      <c r="B26" s="6" t="inlineStr"/>
      <c r="C26" s="7" t="inlineStr"/>
      <c r="D26" s="6" t="inlineStr"/>
      <c r="E26" s="6" t="inlineStr"/>
      <c r="F26" s="8" t="n"/>
    </row>
    <row r="27" ht="20" customHeight="1">
      <c r="A27" s="8" t="n"/>
      <c r="B27" s="9" t="inlineStr">
        <is>
          <t>当日已看时长</t>
        </is>
      </c>
      <c r="C27" s="13" t="n"/>
      <c r="D27" s="14">
        <f>SUMIF($A$17:$A$26,1,$D$17:$D$26)</f>
        <v/>
      </c>
      <c r="E27" s="10" t="n"/>
      <c r="F27" s="10" t="n"/>
    </row>
    <row r="28" ht="22" customHeight="1">
      <c r="A28" s="4" t="n"/>
      <c r="B28" s="5" t="inlineStr">
        <is>
          <t>第3天</t>
        </is>
      </c>
      <c r="C28" s="13" t="n"/>
      <c r="D28" s="4">
        <f>IF($C28="","",ROUND(INDEX(AllDurs,MATCH($C28,AllNames,0))/60,1))</f>
        <v/>
      </c>
      <c r="E28" s="4" t="n"/>
    </row>
    <row r="29" ht="18" customHeight="1">
      <c r="A29" s="6" t="inlineStr"/>
      <c r="B29" s="6" t="inlineStr"/>
      <c r="C29" s="7" t="inlineStr"/>
      <c r="D29" s="6">
        <f>IF($C29="","",ROUND(INDEX(AllDurs,MATCH($C29,AllNames,0))/60,1))</f>
        <v/>
      </c>
      <c r="E29" s="6" t="inlineStr"/>
      <c r="F29" s="8" t="n"/>
    </row>
    <row r="30" ht="18" customHeight="1">
      <c r="A30" s="6" t="inlineStr"/>
      <c r="B30" s="6" t="inlineStr"/>
      <c r="C30" s="7" t="inlineStr"/>
      <c r="D30" s="6">
        <f>IF($C30="","",ROUND(INDEX(AllDurs,MATCH($C30,AllNames,0))/60,1))</f>
        <v/>
      </c>
      <c r="E30" s="6" t="inlineStr"/>
      <c r="F30" s="8" t="n"/>
    </row>
    <row r="31" ht="18" customHeight="1">
      <c r="A31" s="6" t="inlineStr"/>
      <c r="B31" s="6" t="inlineStr"/>
      <c r="C31" s="7" t="inlineStr"/>
      <c r="D31" s="6">
        <f>IF($C31="","",ROUND(INDEX(AllDurs,MATCH($C31,AllNames,0))/60,1))</f>
        <v/>
      </c>
      <c r="E31" s="6" t="inlineStr"/>
      <c r="F31" s="8" t="n"/>
    </row>
    <row r="32" ht="18" customHeight="1">
      <c r="A32" s="6" t="inlineStr"/>
      <c r="B32" s="6" t="inlineStr"/>
      <c r="C32" s="7" t="inlineStr"/>
      <c r="D32" s="6">
        <f>IF($C32="","",ROUND(INDEX(AllDurs,MATCH($C32,AllNames,0))/60,1))</f>
        <v/>
      </c>
      <c r="E32" s="6" t="inlineStr"/>
      <c r="F32" s="8" t="n"/>
    </row>
    <row r="33" ht="18" customHeight="1">
      <c r="A33" s="6" t="inlineStr"/>
      <c r="B33" s="6" t="inlineStr"/>
      <c r="C33" s="7" t="inlineStr"/>
      <c r="D33" s="6">
        <f>IF($C33="","",ROUND(INDEX(AllDurs,MATCH($C33,AllNames,0))/60,1))</f>
        <v/>
      </c>
      <c r="E33" s="6" t="inlineStr"/>
      <c r="F33" s="8" t="n"/>
    </row>
    <row r="34" ht="18" customHeight="1">
      <c r="A34" s="6" t="inlineStr"/>
      <c r="B34" s="6" t="inlineStr"/>
      <c r="C34" s="7" t="inlineStr"/>
      <c r="D34" s="6">
        <f>IF($C34="","",ROUND(INDEX(AllDurs,MATCH($C34,AllNames,0))/60,1))</f>
        <v/>
      </c>
      <c r="E34" s="6" t="inlineStr"/>
      <c r="F34" s="8" t="n"/>
    </row>
    <row r="35" ht="18" customHeight="1">
      <c r="A35" s="6" t="inlineStr"/>
      <c r="B35" s="6" t="inlineStr"/>
      <c r="C35" s="7" t="inlineStr"/>
      <c r="D35" s="6">
        <f>IF($C35="","",ROUND(INDEX(AllDurs,MATCH($C35,AllNames,0))/60,1))</f>
        <v/>
      </c>
      <c r="E35" s="6" t="inlineStr"/>
      <c r="F35" s="8" t="n"/>
    </row>
    <row r="36" ht="18" customHeight="1">
      <c r="A36" s="6" t="inlineStr"/>
      <c r="B36" s="6" t="inlineStr"/>
      <c r="C36" s="7" t="inlineStr"/>
      <c r="D36" s="6">
        <f>IF($C36="","",ROUND(INDEX(AllDurs,MATCH($C36,AllNames,0))/60,1))</f>
        <v/>
      </c>
      <c r="E36" s="6" t="inlineStr"/>
      <c r="F36" s="8" t="n"/>
    </row>
    <row r="37" ht="18" customHeight="1">
      <c r="A37" s="6" t="inlineStr"/>
      <c r="B37" s="6" t="inlineStr"/>
      <c r="C37" s="7" t="inlineStr"/>
      <c r="D37" s="6">
        <f>IF($C37="","",ROUND(INDEX(AllDurs,MATCH($C37,AllNames,0))/60,1))</f>
        <v/>
      </c>
      <c r="E37" s="6" t="inlineStr"/>
      <c r="F37" s="8" t="n"/>
    </row>
    <row r="38" ht="18" customHeight="1">
      <c r="A38" s="6" t="inlineStr"/>
      <c r="B38" s="6" t="inlineStr"/>
      <c r="C38" s="7" t="inlineStr"/>
      <c r="D38" s="6" t="inlineStr"/>
      <c r="E38" s="6" t="inlineStr"/>
      <c r="F38" s="8" t="n"/>
    </row>
    <row r="39" ht="20" customHeight="1">
      <c r="A39" s="8" t="n"/>
      <c r="B39" s="9" t="inlineStr">
        <is>
          <t>当日已看时长</t>
        </is>
      </c>
      <c r="C39" s="13" t="n"/>
      <c r="D39" s="14">
        <f>SUMIF($A$29:$A$38,1,$D$29:$D$38)</f>
        <v/>
      </c>
      <c r="E39" s="10" t="n"/>
      <c r="F39" s="10" t="n"/>
    </row>
    <row r="40" ht="22" customHeight="1">
      <c r="A40" s="4" t="n"/>
      <c r="B40" s="5" t="inlineStr">
        <is>
          <t>第4天</t>
        </is>
      </c>
      <c r="C40" s="13" t="n"/>
      <c r="D40" s="4">
        <f>IF($C40="","",ROUND(INDEX(AllDurs,MATCH($C40,AllNames,0))/60,1))</f>
        <v/>
      </c>
      <c r="E40" s="4" t="n"/>
    </row>
    <row r="41" ht="18" customHeight="1">
      <c r="A41" s="6" t="inlineStr"/>
      <c r="B41" s="6" t="inlineStr"/>
      <c r="C41" s="7" t="inlineStr"/>
      <c r="D41" s="6">
        <f>IF($C41="","",ROUND(INDEX(AllDurs,MATCH($C41,AllNames,0))/60,1))</f>
        <v/>
      </c>
      <c r="E41" s="6" t="inlineStr"/>
      <c r="F41" s="8" t="n"/>
    </row>
    <row r="42" ht="18" customHeight="1">
      <c r="A42" s="6" t="inlineStr"/>
      <c r="B42" s="6" t="inlineStr"/>
      <c r="C42" s="7" t="inlineStr"/>
      <c r="D42" s="6">
        <f>IF($C42="","",ROUND(INDEX(AllDurs,MATCH($C42,AllNames,0))/60,1))</f>
        <v/>
      </c>
      <c r="E42" s="6" t="inlineStr"/>
      <c r="F42" s="8" t="n"/>
    </row>
    <row r="43" ht="18" customHeight="1">
      <c r="A43" s="6" t="inlineStr"/>
      <c r="B43" s="6" t="inlineStr"/>
      <c r="C43" s="7" t="inlineStr"/>
      <c r="D43" s="6">
        <f>IF($C43="","",ROUND(INDEX(AllDurs,MATCH($C43,AllNames,0))/60,1))</f>
        <v/>
      </c>
      <c r="E43" s="6" t="inlineStr"/>
      <c r="F43" s="8" t="n"/>
    </row>
    <row r="44" ht="18" customHeight="1">
      <c r="A44" s="6" t="inlineStr"/>
      <c r="B44" s="6" t="inlineStr"/>
      <c r="C44" s="7" t="inlineStr"/>
      <c r="D44" s="6">
        <f>IF($C44="","",ROUND(INDEX(AllDurs,MATCH($C44,AllNames,0))/60,1))</f>
        <v/>
      </c>
      <c r="E44" s="6" t="inlineStr"/>
      <c r="F44" s="8" t="n"/>
    </row>
    <row r="45" ht="18" customHeight="1">
      <c r="A45" s="6" t="inlineStr"/>
      <c r="B45" s="6" t="inlineStr"/>
      <c r="C45" s="7" t="inlineStr"/>
      <c r="D45" s="6">
        <f>IF($C45="","",ROUND(INDEX(AllDurs,MATCH($C45,AllNames,0))/60,1))</f>
        <v/>
      </c>
      <c r="E45" s="6" t="inlineStr"/>
      <c r="F45" s="8" t="n"/>
    </row>
    <row r="46" ht="18" customHeight="1">
      <c r="A46" s="6" t="inlineStr"/>
      <c r="B46" s="6" t="inlineStr"/>
      <c r="C46" s="7" t="inlineStr"/>
      <c r="D46" s="6">
        <f>IF($C46="","",ROUND(INDEX(AllDurs,MATCH($C46,AllNames,0))/60,1))</f>
        <v/>
      </c>
      <c r="E46" s="6" t="inlineStr"/>
      <c r="F46" s="8" t="n"/>
    </row>
    <row r="47" ht="18" customHeight="1">
      <c r="A47" s="6" t="inlineStr"/>
      <c r="B47" s="6" t="inlineStr"/>
      <c r="C47" s="7" t="inlineStr"/>
      <c r="D47" s="6">
        <f>IF($C47="","",ROUND(INDEX(AllDurs,MATCH($C47,AllNames,0))/60,1))</f>
        <v/>
      </c>
      <c r="E47" s="6" t="inlineStr"/>
      <c r="F47" s="8" t="n"/>
    </row>
    <row r="48" ht="18" customHeight="1">
      <c r="A48" s="6" t="inlineStr"/>
      <c r="B48" s="6" t="inlineStr"/>
      <c r="C48" s="7" t="inlineStr"/>
      <c r="D48" s="6">
        <f>IF($C48="","",ROUND(INDEX(AllDurs,MATCH($C48,AllNames,0))/60,1))</f>
        <v/>
      </c>
      <c r="E48" s="6" t="inlineStr"/>
      <c r="F48" s="8" t="n"/>
    </row>
    <row r="49" ht="18" customHeight="1">
      <c r="A49" s="6" t="inlineStr"/>
      <c r="B49" s="6" t="inlineStr"/>
      <c r="C49" s="7" t="inlineStr"/>
      <c r="D49" s="6">
        <f>IF($C49="","",ROUND(INDEX(AllDurs,MATCH($C49,AllNames,0))/60,1))</f>
        <v/>
      </c>
      <c r="E49" s="6" t="inlineStr"/>
      <c r="F49" s="8" t="n"/>
    </row>
    <row r="50" ht="18" customHeight="1">
      <c r="A50" s="6" t="inlineStr"/>
      <c r="B50" s="6" t="inlineStr"/>
      <c r="C50" s="7" t="inlineStr"/>
      <c r="D50" s="6" t="inlineStr"/>
      <c r="E50" s="6" t="inlineStr"/>
      <c r="F50" s="8" t="n"/>
    </row>
    <row r="51" ht="20" customHeight="1">
      <c r="A51" s="8" t="n"/>
      <c r="B51" s="9" t="inlineStr">
        <is>
          <t>当日已看时长</t>
        </is>
      </c>
      <c r="C51" s="13" t="n"/>
      <c r="D51" s="14">
        <f>SUMIF($A$41:$A$50,1,$D$41:$D$50)</f>
        <v/>
      </c>
      <c r="E51" s="10" t="n"/>
      <c r="F51" s="10" t="n"/>
    </row>
    <row r="52" ht="22" customHeight="1">
      <c r="A52" s="4" t="n"/>
      <c r="B52" s="5" t="inlineStr">
        <is>
          <t>第5天</t>
        </is>
      </c>
      <c r="C52" s="13" t="n"/>
      <c r="D52" s="4">
        <f>IF($C52="","",ROUND(INDEX(AllDurs,MATCH($C52,AllNames,0))/60,1))</f>
        <v/>
      </c>
      <c r="E52" s="4" t="n"/>
    </row>
    <row r="53" ht="18" customHeight="1">
      <c r="A53" s="6" t="inlineStr"/>
      <c r="B53" s="6" t="inlineStr"/>
      <c r="C53" s="7" t="inlineStr"/>
      <c r="D53" s="6">
        <f>IF($C53="","",ROUND(INDEX(AllDurs,MATCH($C53,AllNames,0))/60,1))</f>
        <v/>
      </c>
      <c r="E53" s="6" t="inlineStr"/>
      <c r="F53" s="8" t="n"/>
    </row>
    <row r="54" ht="18" customHeight="1">
      <c r="A54" s="6" t="inlineStr"/>
      <c r="B54" s="6" t="inlineStr"/>
      <c r="C54" s="7" t="inlineStr"/>
      <c r="D54" s="6">
        <f>IF($C54="","",ROUND(INDEX(AllDurs,MATCH($C54,AllNames,0))/60,1))</f>
        <v/>
      </c>
      <c r="E54" s="6" t="inlineStr"/>
      <c r="F54" s="8" t="n"/>
    </row>
    <row r="55" ht="18" customHeight="1">
      <c r="A55" s="6" t="inlineStr"/>
      <c r="B55" s="6" t="inlineStr"/>
      <c r="C55" s="7" t="inlineStr"/>
      <c r="D55" s="6">
        <f>IF($C55="","",ROUND(INDEX(AllDurs,MATCH($C55,AllNames,0))/60,1))</f>
        <v/>
      </c>
      <c r="E55" s="6" t="inlineStr"/>
      <c r="F55" s="8" t="n"/>
    </row>
    <row r="56" ht="18" customHeight="1">
      <c r="A56" s="6" t="inlineStr"/>
      <c r="B56" s="6" t="inlineStr"/>
      <c r="C56" s="7" t="inlineStr"/>
      <c r="D56" s="6">
        <f>IF($C56="","",ROUND(INDEX(AllDurs,MATCH($C56,AllNames,0))/60,1))</f>
        <v/>
      </c>
      <c r="E56" s="6" t="inlineStr"/>
      <c r="F56" s="8" t="n"/>
    </row>
    <row r="57" ht="18" customHeight="1">
      <c r="A57" s="6" t="inlineStr"/>
      <c r="B57" s="6" t="inlineStr"/>
      <c r="C57" s="7" t="inlineStr"/>
      <c r="D57" s="6">
        <f>IF($C57="","",ROUND(INDEX(AllDurs,MATCH($C57,AllNames,0))/60,1))</f>
        <v/>
      </c>
      <c r="E57" s="6" t="inlineStr"/>
      <c r="F57" s="8" t="n"/>
    </row>
    <row r="58" ht="18" customHeight="1">
      <c r="A58" s="6" t="inlineStr"/>
      <c r="B58" s="6" t="inlineStr"/>
      <c r="C58" s="7" t="inlineStr"/>
      <c r="D58" s="6">
        <f>IF($C58="","",ROUND(INDEX(AllDurs,MATCH($C58,AllNames,0))/60,1))</f>
        <v/>
      </c>
      <c r="E58" s="6" t="inlineStr"/>
      <c r="F58" s="8" t="n"/>
    </row>
    <row r="59" ht="18" customHeight="1">
      <c r="A59" s="6" t="inlineStr"/>
      <c r="B59" s="6" t="inlineStr"/>
      <c r="C59" s="7" t="inlineStr"/>
      <c r="D59" s="6">
        <f>IF($C59="","",ROUND(INDEX(AllDurs,MATCH($C59,AllNames,0))/60,1))</f>
        <v/>
      </c>
      <c r="E59" s="6" t="inlineStr"/>
      <c r="F59" s="8" t="n"/>
    </row>
    <row r="60" ht="18" customHeight="1">
      <c r="A60" s="6" t="inlineStr"/>
      <c r="B60" s="6" t="inlineStr"/>
      <c r="C60" s="7" t="inlineStr"/>
      <c r="D60" s="6">
        <f>IF($C60="","",ROUND(INDEX(AllDurs,MATCH($C60,AllNames,0))/60,1))</f>
        <v/>
      </c>
      <c r="E60" s="6" t="inlineStr"/>
      <c r="F60" s="8" t="n"/>
    </row>
    <row r="61" ht="18" customHeight="1">
      <c r="A61" s="6" t="inlineStr"/>
      <c r="B61" s="6" t="inlineStr"/>
      <c r="C61" s="7" t="inlineStr"/>
      <c r="D61" s="6">
        <f>IF($C61="","",ROUND(INDEX(AllDurs,MATCH($C61,AllNames,0))/60,1))</f>
        <v/>
      </c>
      <c r="E61" s="6" t="inlineStr"/>
      <c r="F61" s="8" t="n"/>
    </row>
    <row r="62" ht="18" customHeight="1">
      <c r="A62" s="6" t="inlineStr"/>
      <c r="B62" s="6" t="inlineStr"/>
      <c r="C62" s="7" t="inlineStr"/>
      <c r="D62" s="6" t="inlineStr"/>
      <c r="E62" s="6" t="inlineStr"/>
      <c r="F62" s="8" t="n"/>
    </row>
    <row r="63" ht="20" customHeight="1">
      <c r="A63" s="8" t="n"/>
      <c r="B63" s="9" t="inlineStr">
        <is>
          <t>当日已看时长</t>
        </is>
      </c>
      <c r="C63" s="13" t="n"/>
      <c r="D63" s="14">
        <f>SUMIF($A$53:$A$62,1,$D$53:$D$62)</f>
        <v/>
      </c>
      <c r="E63" s="10" t="n"/>
      <c r="F63" s="10" t="n"/>
    </row>
    <row r="64" ht="22" customHeight="1">
      <c r="A64" s="4" t="n"/>
      <c r="B64" s="5" t="inlineStr">
        <is>
          <t>第6天</t>
        </is>
      </c>
      <c r="C64" s="13" t="n"/>
      <c r="D64" s="4">
        <f>IF($C64="","",ROUND(INDEX(AllDurs,MATCH($C64,AllNames,0))/60,1))</f>
        <v/>
      </c>
      <c r="E64" s="4" t="n"/>
    </row>
    <row r="65" ht="18" customHeight="1">
      <c r="A65" s="6" t="inlineStr"/>
      <c r="B65" s="6" t="inlineStr"/>
      <c r="C65" s="7" t="inlineStr"/>
      <c r="D65" s="6">
        <f>IF($C65="","",ROUND(INDEX(AllDurs,MATCH($C65,AllNames,0))/60,1))</f>
        <v/>
      </c>
      <c r="E65" s="6" t="inlineStr"/>
      <c r="F65" s="8" t="n"/>
    </row>
    <row r="66" ht="18" customHeight="1">
      <c r="A66" s="6" t="inlineStr"/>
      <c r="B66" s="6" t="inlineStr"/>
      <c r="C66" s="7" t="inlineStr"/>
      <c r="D66" s="6">
        <f>IF($C66="","",ROUND(INDEX(AllDurs,MATCH($C66,AllNames,0))/60,1))</f>
        <v/>
      </c>
      <c r="E66" s="6" t="inlineStr"/>
      <c r="F66" s="8" t="n"/>
    </row>
    <row r="67" ht="18" customHeight="1">
      <c r="A67" s="6" t="inlineStr"/>
      <c r="B67" s="6" t="inlineStr"/>
      <c r="C67" s="7" t="inlineStr"/>
      <c r="D67" s="6">
        <f>IF($C67="","",ROUND(INDEX(AllDurs,MATCH($C67,AllNames,0))/60,1))</f>
        <v/>
      </c>
      <c r="E67" s="6" t="inlineStr"/>
      <c r="F67" s="8" t="n"/>
    </row>
    <row r="68" ht="18" customHeight="1">
      <c r="A68" s="6" t="inlineStr"/>
      <c r="B68" s="6" t="inlineStr"/>
      <c r="C68" s="7" t="inlineStr"/>
      <c r="D68" s="6">
        <f>IF($C68="","",ROUND(INDEX(AllDurs,MATCH($C68,AllNames,0))/60,1))</f>
        <v/>
      </c>
      <c r="E68" s="6" t="inlineStr"/>
      <c r="F68" s="8" t="n"/>
    </row>
    <row r="69" ht="18" customHeight="1">
      <c r="A69" s="6" t="inlineStr"/>
      <c r="B69" s="6" t="inlineStr"/>
      <c r="C69" s="7" t="inlineStr"/>
      <c r="D69" s="6">
        <f>IF($C69="","",ROUND(INDEX(AllDurs,MATCH($C69,AllNames,0))/60,1))</f>
        <v/>
      </c>
      <c r="E69" s="6" t="inlineStr"/>
      <c r="F69" s="8" t="n"/>
    </row>
    <row r="70" ht="18" customHeight="1">
      <c r="A70" s="6" t="inlineStr"/>
      <c r="B70" s="6" t="inlineStr"/>
      <c r="C70" s="7" t="inlineStr"/>
      <c r="D70" s="6">
        <f>IF($C70="","",ROUND(INDEX(AllDurs,MATCH($C70,AllNames,0))/60,1))</f>
        <v/>
      </c>
      <c r="E70" s="6" t="inlineStr"/>
      <c r="F70" s="8" t="n"/>
    </row>
    <row r="71" ht="18" customHeight="1">
      <c r="A71" s="6" t="inlineStr"/>
      <c r="B71" s="6" t="inlineStr"/>
      <c r="C71" s="7" t="inlineStr"/>
      <c r="D71" s="6">
        <f>IF($C71="","",ROUND(INDEX(AllDurs,MATCH($C71,AllNames,0))/60,1))</f>
        <v/>
      </c>
      <c r="E71" s="6" t="inlineStr"/>
      <c r="F71" s="8" t="n"/>
    </row>
    <row r="72" ht="18" customHeight="1">
      <c r="A72" s="6" t="inlineStr"/>
      <c r="B72" s="6" t="inlineStr"/>
      <c r="C72" s="7" t="inlineStr"/>
      <c r="D72" s="6">
        <f>IF($C72="","",ROUND(INDEX(AllDurs,MATCH($C72,AllNames,0))/60,1))</f>
        <v/>
      </c>
      <c r="E72" s="6" t="inlineStr"/>
      <c r="F72" s="8" t="n"/>
    </row>
    <row r="73" ht="18" customHeight="1">
      <c r="A73" s="6" t="inlineStr"/>
      <c r="B73" s="6" t="inlineStr"/>
      <c r="C73" s="7" t="inlineStr"/>
      <c r="D73" s="6">
        <f>IF($C73="","",ROUND(INDEX(AllDurs,MATCH($C73,AllNames,0))/60,1))</f>
        <v/>
      </c>
      <c r="E73" s="6" t="inlineStr"/>
      <c r="F73" s="8" t="n"/>
    </row>
    <row r="74" ht="18" customHeight="1">
      <c r="A74" s="6" t="inlineStr"/>
      <c r="B74" s="6" t="inlineStr"/>
      <c r="C74" s="7" t="inlineStr"/>
      <c r="D74" s="6" t="inlineStr"/>
      <c r="E74" s="6" t="inlineStr"/>
      <c r="F74" s="8" t="n"/>
    </row>
    <row r="75" ht="20" customHeight="1">
      <c r="A75" s="8" t="n"/>
      <c r="B75" s="9" t="inlineStr">
        <is>
          <t>当日已看时长</t>
        </is>
      </c>
      <c r="C75" s="13" t="n"/>
      <c r="D75" s="14">
        <f>SUMIF($A$65:$A$74,1,$D$65:$D$74)</f>
        <v/>
      </c>
      <c r="E75" s="10" t="n"/>
      <c r="F75" s="10" t="n"/>
    </row>
    <row r="76" ht="22" customHeight="1">
      <c r="A76" s="4" t="n"/>
      <c r="B76" s="5" t="inlineStr">
        <is>
          <t>第7天</t>
        </is>
      </c>
      <c r="C76" s="13" t="n"/>
      <c r="D76" s="4">
        <f>IF($C76="","",ROUND(INDEX(AllDurs,MATCH($C76,AllNames,0))/60,1))</f>
        <v/>
      </c>
      <c r="E76" s="4" t="n"/>
    </row>
    <row r="77" ht="18" customHeight="1">
      <c r="A77" s="6" t="inlineStr"/>
      <c r="B77" s="6" t="inlineStr"/>
      <c r="C77" s="7" t="inlineStr"/>
      <c r="D77" s="6">
        <f>IF($C77="","",ROUND(INDEX(AllDurs,MATCH($C77,AllNames,0))/60,1))</f>
        <v/>
      </c>
      <c r="E77" s="6" t="inlineStr"/>
      <c r="F77" s="8" t="n"/>
    </row>
    <row r="78" ht="18" customHeight="1">
      <c r="A78" s="6" t="inlineStr"/>
      <c r="B78" s="6" t="inlineStr"/>
      <c r="C78" s="7" t="inlineStr"/>
      <c r="D78" s="6">
        <f>IF($C78="","",ROUND(INDEX(AllDurs,MATCH($C78,AllNames,0))/60,1))</f>
        <v/>
      </c>
      <c r="E78" s="6" t="inlineStr"/>
      <c r="F78" s="8" t="n"/>
    </row>
    <row r="79" ht="18" customHeight="1">
      <c r="A79" s="6" t="inlineStr"/>
      <c r="B79" s="6" t="inlineStr"/>
      <c r="C79" s="7" t="inlineStr"/>
      <c r="D79" s="6">
        <f>IF($C79="","",ROUND(INDEX(AllDurs,MATCH($C79,AllNames,0))/60,1))</f>
        <v/>
      </c>
      <c r="E79" s="6" t="inlineStr"/>
      <c r="F79" s="8" t="n"/>
    </row>
    <row r="80" ht="18" customHeight="1">
      <c r="A80" s="6" t="inlineStr"/>
      <c r="B80" s="6" t="inlineStr"/>
      <c r="C80" s="7" t="inlineStr"/>
      <c r="D80" s="6">
        <f>IF($C80="","",ROUND(INDEX(AllDurs,MATCH($C80,AllNames,0))/60,1))</f>
        <v/>
      </c>
      <c r="E80" s="6" t="inlineStr"/>
      <c r="F80" s="8" t="n"/>
    </row>
    <row r="81" ht="18" customHeight="1">
      <c r="A81" s="6" t="inlineStr"/>
      <c r="B81" s="6" t="inlineStr"/>
      <c r="C81" s="7" t="inlineStr"/>
      <c r="D81" s="6">
        <f>IF($C81="","",ROUND(INDEX(AllDurs,MATCH($C81,AllNames,0))/60,1))</f>
        <v/>
      </c>
      <c r="E81" s="6" t="inlineStr"/>
      <c r="F81" s="8" t="n"/>
    </row>
    <row r="82" ht="18" customHeight="1">
      <c r="A82" s="6" t="inlineStr"/>
      <c r="B82" s="6" t="inlineStr"/>
      <c r="C82" s="7" t="inlineStr"/>
      <c r="D82" s="6">
        <f>IF($C82="","",ROUND(INDEX(AllDurs,MATCH($C82,AllNames,0))/60,1))</f>
        <v/>
      </c>
      <c r="E82" s="6" t="inlineStr"/>
      <c r="F82" s="8" t="n"/>
    </row>
    <row r="83" ht="18" customHeight="1">
      <c r="A83" s="6" t="inlineStr"/>
      <c r="B83" s="6" t="inlineStr"/>
      <c r="C83" s="7" t="inlineStr"/>
      <c r="D83" s="6">
        <f>IF($C83="","",ROUND(INDEX(AllDurs,MATCH($C83,AllNames,0))/60,1))</f>
        <v/>
      </c>
      <c r="E83" s="6" t="inlineStr"/>
      <c r="F83" s="8" t="n"/>
    </row>
    <row r="84" ht="18" customHeight="1">
      <c r="A84" s="6" t="inlineStr"/>
      <c r="B84" s="6" t="inlineStr"/>
      <c r="C84" s="7" t="inlineStr"/>
      <c r="D84" s="6">
        <f>IF($C84="","",ROUND(INDEX(AllDurs,MATCH($C84,AllNames,0))/60,1))</f>
        <v/>
      </c>
      <c r="E84" s="6" t="inlineStr"/>
      <c r="F84" s="8" t="n"/>
    </row>
    <row r="85" ht="18" customHeight="1">
      <c r="A85" s="6" t="inlineStr"/>
      <c r="B85" s="6" t="inlineStr"/>
      <c r="C85" s="7" t="inlineStr"/>
      <c r="D85" s="6">
        <f>IF($C85="","",ROUND(INDEX(AllDurs,MATCH($C85,AllNames,0))/60,1))</f>
        <v/>
      </c>
      <c r="E85" s="6" t="inlineStr"/>
      <c r="F85" s="8" t="n"/>
    </row>
    <row r="86" ht="18" customHeight="1">
      <c r="A86" s="6" t="inlineStr"/>
      <c r="B86" s="6" t="inlineStr"/>
      <c r="C86" s="7" t="inlineStr"/>
      <c r="D86" s="6" t="inlineStr"/>
      <c r="E86" s="6" t="inlineStr"/>
      <c r="F86" s="8" t="n"/>
    </row>
    <row r="87" ht="20" customHeight="1">
      <c r="A87" s="8" t="n"/>
      <c r="B87" s="9" t="inlineStr">
        <is>
          <t>当日已看时长</t>
        </is>
      </c>
      <c r="C87" s="13" t="n"/>
      <c r="D87" s="14">
        <f>SUMIF($A$77:$A$86,1,$D$77:$D$86)</f>
        <v/>
      </c>
      <c r="E87" s="10" t="n"/>
      <c r="F87" s="10" t="n"/>
    </row>
    <row r="88" ht="22" customHeight="1">
      <c r="A88" s="4" t="n"/>
      <c r="B88" s="5" t="inlineStr">
        <is>
          <t>第8天</t>
        </is>
      </c>
      <c r="C88" s="13" t="n"/>
      <c r="D88" s="4">
        <f>IF($C88="","",ROUND(INDEX(AllDurs,MATCH($C88,AllNames,0))/60,1))</f>
        <v/>
      </c>
      <c r="E88" s="4" t="n"/>
    </row>
    <row r="89" ht="18" customHeight="1">
      <c r="A89" s="6" t="inlineStr"/>
      <c r="B89" s="6" t="inlineStr"/>
      <c r="C89" s="7" t="inlineStr"/>
      <c r="D89" s="6">
        <f>IF($C89="","",ROUND(INDEX(AllDurs,MATCH($C89,AllNames,0))/60,1))</f>
        <v/>
      </c>
      <c r="E89" s="6" t="inlineStr"/>
      <c r="F89" s="8" t="n"/>
    </row>
    <row r="90" ht="18" customHeight="1">
      <c r="A90" s="6" t="inlineStr"/>
      <c r="B90" s="6" t="inlineStr"/>
      <c r="C90" s="7" t="inlineStr"/>
      <c r="D90" s="6">
        <f>IF($C90="","",ROUND(INDEX(AllDurs,MATCH($C90,AllNames,0))/60,1))</f>
        <v/>
      </c>
      <c r="E90" s="6" t="inlineStr"/>
      <c r="F90" s="8" t="n"/>
    </row>
    <row r="91" ht="18" customHeight="1">
      <c r="A91" s="6" t="inlineStr"/>
      <c r="B91" s="6" t="inlineStr"/>
      <c r="C91" s="7" t="inlineStr"/>
      <c r="D91" s="6">
        <f>IF($C91="","",ROUND(INDEX(AllDurs,MATCH($C91,AllNames,0))/60,1))</f>
        <v/>
      </c>
      <c r="E91" s="6" t="inlineStr"/>
      <c r="F91" s="8" t="n"/>
    </row>
    <row r="92" ht="18" customHeight="1">
      <c r="A92" s="6" t="inlineStr"/>
      <c r="B92" s="6" t="inlineStr"/>
      <c r="C92" s="7" t="inlineStr"/>
      <c r="D92" s="6">
        <f>IF($C92="","",ROUND(INDEX(AllDurs,MATCH($C92,AllNames,0))/60,1))</f>
        <v/>
      </c>
      <c r="E92" s="6" t="inlineStr"/>
      <c r="F92" s="8" t="n"/>
    </row>
    <row r="93" ht="18" customHeight="1">
      <c r="A93" s="6" t="inlineStr"/>
      <c r="B93" s="6" t="inlineStr"/>
      <c r="C93" s="7" t="inlineStr"/>
      <c r="D93" s="6">
        <f>IF($C93="","",ROUND(INDEX(AllDurs,MATCH($C93,AllNames,0))/60,1))</f>
        <v/>
      </c>
      <c r="E93" s="6" t="inlineStr"/>
      <c r="F93" s="8" t="n"/>
    </row>
    <row r="94" ht="18" customHeight="1">
      <c r="A94" s="6" t="inlineStr"/>
      <c r="B94" s="6" t="inlineStr"/>
      <c r="C94" s="7" t="inlineStr"/>
      <c r="D94" s="6">
        <f>IF($C94="","",ROUND(INDEX(AllDurs,MATCH($C94,AllNames,0))/60,1))</f>
        <v/>
      </c>
      <c r="E94" s="6" t="inlineStr"/>
      <c r="F94" s="8" t="n"/>
    </row>
    <row r="95" ht="18" customHeight="1">
      <c r="A95" s="6" t="inlineStr"/>
      <c r="B95" s="6" t="inlineStr"/>
      <c r="C95" s="7" t="inlineStr"/>
      <c r="D95" s="6">
        <f>IF($C95="","",ROUND(INDEX(AllDurs,MATCH($C95,AllNames,0))/60,1))</f>
        <v/>
      </c>
      <c r="E95" s="6" t="inlineStr"/>
      <c r="F95" s="8" t="n"/>
    </row>
    <row r="96" ht="18" customHeight="1">
      <c r="A96" s="6" t="inlineStr"/>
      <c r="B96" s="6" t="inlineStr"/>
      <c r="C96" s="7" t="inlineStr"/>
      <c r="D96" s="6">
        <f>IF($C96="","",ROUND(INDEX(AllDurs,MATCH($C96,AllNames,0))/60,1))</f>
        <v/>
      </c>
      <c r="E96" s="6" t="inlineStr"/>
      <c r="F96" s="8" t="n"/>
    </row>
    <row r="97" ht="18" customHeight="1">
      <c r="A97" s="6" t="inlineStr"/>
      <c r="B97" s="6" t="inlineStr"/>
      <c r="C97" s="7" t="inlineStr"/>
      <c r="D97" s="6">
        <f>IF($C97="","",ROUND(INDEX(AllDurs,MATCH($C97,AllNames,0))/60,1))</f>
        <v/>
      </c>
      <c r="E97" s="6" t="inlineStr"/>
      <c r="F97" s="8" t="n"/>
    </row>
    <row r="98" ht="18" customHeight="1">
      <c r="A98" s="6" t="inlineStr"/>
      <c r="B98" s="6" t="inlineStr"/>
      <c r="C98" s="7" t="inlineStr"/>
      <c r="D98" s="6" t="inlineStr"/>
      <c r="E98" s="6" t="inlineStr"/>
      <c r="F98" s="8" t="n"/>
    </row>
    <row r="99" ht="20" customHeight="1">
      <c r="A99" s="8" t="n"/>
      <c r="B99" s="9" t="inlineStr">
        <is>
          <t>当日已看时长</t>
        </is>
      </c>
      <c r="C99" s="13" t="n"/>
      <c r="D99" s="14">
        <f>SUMIF($A$89:$A$98,1,$D$89:$D$98)</f>
        <v/>
      </c>
      <c r="E99" s="10" t="n"/>
      <c r="F99" s="10" t="n"/>
    </row>
    <row r="100" ht="22" customHeight="1">
      <c r="A100" s="4" t="n"/>
      <c r="B100" s="5" t="inlineStr">
        <is>
          <t>第9天</t>
        </is>
      </c>
      <c r="C100" s="13" t="n"/>
      <c r="D100" s="4">
        <f>IF($C100="","",ROUND(INDEX(AllDurs,MATCH($C100,AllNames,0))/60,1))</f>
        <v/>
      </c>
      <c r="E100" s="4" t="n"/>
    </row>
    <row r="101" ht="18" customHeight="1">
      <c r="A101" s="6" t="inlineStr"/>
      <c r="B101" s="6" t="inlineStr"/>
      <c r="C101" s="7" t="inlineStr"/>
      <c r="D101" s="6">
        <f>IF($C101="","",ROUND(INDEX(AllDurs,MATCH($C101,AllNames,0))/60,1))</f>
        <v/>
      </c>
      <c r="E101" s="6" t="inlineStr"/>
      <c r="F101" s="8" t="n"/>
    </row>
    <row r="102" ht="18" customHeight="1">
      <c r="A102" s="6" t="inlineStr"/>
      <c r="B102" s="6" t="inlineStr"/>
      <c r="C102" s="7" t="inlineStr"/>
      <c r="D102" s="6">
        <f>IF($C102="","",ROUND(INDEX(AllDurs,MATCH($C102,AllNames,0))/60,1))</f>
        <v/>
      </c>
      <c r="E102" s="6" t="inlineStr"/>
      <c r="F102" s="8" t="n"/>
    </row>
    <row r="103" ht="18" customHeight="1">
      <c r="A103" s="6" t="inlineStr"/>
      <c r="B103" s="6" t="inlineStr"/>
      <c r="C103" s="7" t="inlineStr"/>
      <c r="D103" s="6">
        <f>IF($C103="","",ROUND(INDEX(AllDurs,MATCH($C103,AllNames,0))/60,1))</f>
        <v/>
      </c>
      <c r="E103" s="6" t="inlineStr"/>
      <c r="F103" s="8" t="n"/>
    </row>
    <row r="104" ht="18" customHeight="1">
      <c r="A104" s="6" t="inlineStr"/>
      <c r="B104" s="6" t="inlineStr"/>
      <c r="C104" s="7" t="inlineStr"/>
      <c r="D104" s="6">
        <f>IF($C104="","",ROUND(INDEX(AllDurs,MATCH($C104,AllNames,0))/60,1))</f>
        <v/>
      </c>
      <c r="E104" s="6" t="inlineStr"/>
      <c r="F104" s="8" t="n"/>
    </row>
    <row r="105" ht="18" customHeight="1">
      <c r="A105" s="6" t="inlineStr"/>
      <c r="B105" s="6" t="inlineStr"/>
      <c r="C105" s="7" t="inlineStr"/>
      <c r="D105" s="6">
        <f>IF($C105="","",ROUND(INDEX(AllDurs,MATCH($C105,AllNames,0))/60,1))</f>
        <v/>
      </c>
      <c r="E105" s="6" t="inlineStr"/>
      <c r="F105" s="8" t="n"/>
    </row>
    <row r="106" ht="18" customHeight="1">
      <c r="A106" s="6" t="inlineStr"/>
      <c r="B106" s="6" t="inlineStr"/>
      <c r="C106" s="7" t="inlineStr"/>
      <c r="D106" s="6">
        <f>IF($C106="","",ROUND(INDEX(AllDurs,MATCH($C106,AllNames,0))/60,1))</f>
        <v/>
      </c>
      <c r="E106" s="6" t="inlineStr"/>
      <c r="F106" s="8" t="n"/>
    </row>
    <row r="107" ht="18" customHeight="1">
      <c r="A107" s="6" t="inlineStr"/>
      <c r="B107" s="6" t="inlineStr"/>
      <c r="C107" s="7" t="inlineStr"/>
      <c r="D107" s="6">
        <f>IF($C107="","",ROUND(INDEX(AllDurs,MATCH($C107,AllNames,0))/60,1))</f>
        <v/>
      </c>
      <c r="E107" s="6" t="inlineStr"/>
      <c r="F107" s="8" t="n"/>
    </row>
    <row r="108" ht="18" customHeight="1">
      <c r="A108" s="6" t="inlineStr"/>
      <c r="B108" s="6" t="inlineStr"/>
      <c r="C108" s="7" t="inlineStr"/>
      <c r="D108" s="6">
        <f>IF($C108="","",ROUND(INDEX(AllDurs,MATCH($C108,AllNames,0))/60,1))</f>
        <v/>
      </c>
      <c r="E108" s="6" t="inlineStr"/>
      <c r="F108" s="8" t="n"/>
    </row>
    <row r="109" ht="18" customHeight="1">
      <c r="A109" s="6" t="inlineStr"/>
      <c r="B109" s="6" t="inlineStr"/>
      <c r="C109" s="7" t="inlineStr"/>
      <c r="D109" s="6">
        <f>IF($C109="","",ROUND(INDEX(AllDurs,MATCH($C109,AllNames,0))/60,1))</f>
        <v/>
      </c>
      <c r="E109" s="6" t="inlineStr"/>
      <c r="F109" s="8" t="n"/>
    </row>
    <row r="110" ht="18" customHeight="1">
      <c r="A110" s="6" t="inlineStr"/>
      <c r="B110" s="6" t="inlineStr"/>
      <c r="C110" s="7" t="inlineStr"/>
      <c r="D110" s="6" t="inlineStr"/>
      <c r="E110" s="6" t="inlineStr"/>
      <c r="F110" s="8" t="n"/>
    </row>
    <row r="111" ht="20" customHeight="1">
      <c r="A111" s="8" t="n"/>
      <c r="B111" s="9" t="inlineStr">
        <is>
          <t>当日已看时长</t>
        </is>
      </c>
      <c r="C111" s="13" t="n"/>
      <c r="D111" s="14">
        <f>SUMIF($A$101:$A$110,1,$D$101:$D$110)</f>
        <v/>
      </c>
      <c r="E111" s="10" t="n"/>
      <c r="F111" s="10" t="n"/>
    </row>
    <row r="112" ht="22" customHeight="1">
      <c r="A112" s="4" t="n"/>
      <c r="B112" s="5" t="inlineStr">
        <is>
          <t>第10天</t>
        </is>
      </c>
      <c r="C112" s="13" t="n"/>
      <c r="D112" s="4">
        <f>IF($C112="","",ROUND(INDEX(AllDurs,MATCH($C112,AllNames,0))/60,1))</f>
        <v/>
      </c>
      <c r="E112" s="4" t="n"/>
    </row>
    <row r="113" ht="18" customHeight="1">
      <c r="A113" s="6" t="inlineStr"/>
      <c r="B113" s="6" t="inlineStr"/>
      <c r="C113" s="7" t="inlineStr"/>
      <c r="D113" s="6">
        <f>IF($C113="","",ROUND(INDEX(AllDurs,MATCH($C113,AllNames,0))/60,1))</f>
        <v/>
      </c>
      <c r="E113" s="6" t="inlineStr"/>
      <c r="F113" s="8" t="n"/>
    </row>
    <row r="114" ht="18" customHeight="1">
      <c r="A114" s="6" t="inlineStr"/>
      <c r="B114" s="6" t="inlineStr"/>
      <c r="C114" s="7" t="inlineStr"/>
      <c r="D114" s="6">
        <f>IF($C114="","",ROUND(INDEX(AllDurs,MATCH($C114,AllNames,0))/60,1))</f>
        <v/>
      </c>
      <c r="E114" s="6" t="inlineStr"/>
      <c r="F114" s="8" t="n"/>
    </row>
    <row r="115" ht="18" customHeight="1">
      <c r="A115" s="6" t="inlineStr"/>
      <c r="B115" s="6" t="inlineStr"/>
      <c r="C115" s="7" t="inlineStr"/>
      <c r="D115" s="6">
        <f>IF($C115="","",ROUND(INDEX(AllDurs,MATCH($C115,AllNames,0))/60,1))</f>
        <v/>
      </c>
      <c r="E115" s="6" t="inlineStr"/>
      <c r="F115" s="8" t="n"/>
    </row>
    <row r="116" ht="18" customHeight="1">
      <c r="A116" s="6" t="inlineStr"/>
      <c r="B116" s="6" t="inlineStr"/>
      <c r="C116" s="7" t="inlineStr"/>
      <c r="D116" s="6">
        <f>IF($C116="","",ROUND(INDEX(AllDurs,MATCH($C116,AllNames,0))/60,1))</f>
        <v/>
      </c>
      <c r="E116" s="6" t="inlineStr"/>
      <c r="F116" s="8" t="n"/>
    </row>
    <row r="117" ht="18" customHeight="1">
      <c r="A117" s="6" t="inlineStr"/>
      <c r="B117" s="6" t="inlineStr"/>
      <c r="C117" s="7" t="inlineStr"/>
      <c r="D117" s="6">
        <f>IF($C117="","",ROUND(INDEX(AllDurs,MATCH($C117,AllNames,0))/60,1))</f>
        <v/>
      </c>
      <c r="E117" s="6" t="inlineStr"/>
      <c r="F117" s="8" t="n"/>
    </row>
    <row r="118" ht="18" customHeight="1">
      <c r="A118" s="6" t="inlineStr"/>
      <c r="B118" s="6" t="inlineStr"/>
      <c r="C118" s="7" t="inlineStr"/>
      <c r="D118" s="6">
        <f>IF($C118="","",ROUND(INDEX(AllDurs,MATCH($C118,AllNames,0))/60,1))</f>
        <v/>
      </c>
      <c r="E118" s="6" t="inlineStr"/>
      <c r="F118" s="8" t="n"/>
    </row>
    <row r="119" ht="18" customHeight="1">
      <c r="A119" s="6" t="inlineStr"/>
      <c r="B119" s="6" t="inlineStr"/>
      <c r="C119" s="7" t="inlineStr"/>
      <c r="D119" s="6">
        <f>IF($C119="","",ROUND(INDEX(AllDurs,MATCH($C119,AllNames,0))/60,1))</f>
        <v/>
      </c>
      <c r="E119" s="6" t="inlineStr"/>
      <c r="F119" s="8" t="n"/>
    </row>
    <row r="120" ht="18" customHeight="1">
      <c r="A120" s="6" t="inlineStr"/>
      <c r="B120" s="6" t="inlineStr"/>
      <c r="C120" s="7" t="inlineStr"/>
      <c r="D120" s="6">
        <f>IF($C120="","",ROUND(INDEX(AllDurs,MATCH($C120,AllNames,0))/60,1))</f>
        <v/>
      </c>
      <c r="E120" s="6" t="inlineStr"/>
      <c r="F120" s="8" t="n"/>
    </row>
    <row r="121" ht="18" customHeight="1">
      <c r="A121" s="6" t="inlineStr"/>
      <c r="B121" s="6" t="inlineStr"/>
      <c r="C121" s="7" t="inlineStr"/>
      <c r="D121" s="6">
        <f>IF($C121="","",ROUND(INDEX(AllDurs,MATCH($C121,AllNames,0))/60,1))</f>
        <v/>
      </c>
      <c r="E121" s="6" t="inlineStr"/>
      <c r="F121" s="8" t="n"/>
    </row>
    <row r="122" ht="18" customHeight="1">
      <c r="A122" s="6" t="inlineStr"/>
      <c r="B122" s="6" t="inlineStr"/>
      <c r="C122" s="7" t="inlineStr"/>
      <c r="D122" s="6" t="inlineStr"/>
      <c r="E122" s="6" t="inlineStr"/>
      <c r="F122" s="8" t="n"/>
    </row>
    <row r="123" ht="20" customHeight="1">
      <c r="A123" s="8" t="n"/>
      <c r="B123" s="9" t="inlineStr">
        <is>
          <t>当日已看时长</t>
        </is>
      </c>
      <c r="C123" s="13" t="n"/>
      <c r="D123" s="14">
        <f>SUMIF($A$113:$A$122,1,$D$113:$D$122)</f>
        <v/>
      </c>
      <c r="E123" s="10" t="n"/>
      <c r="F123" s="10" t="n"/>
    </row>
    <row r="124" ht="22" customHeight="1">
      <c r="A124" s="4" t="n"/>
      <c r="B124" s="5" t="inlineStr">
        <is>
          <t>第11天</t>
        </is>
      </c>
      <c r="C124" s="13" t="n"/>
      <c r="D124" s="4">
        <f>IF($C124="","",ROUND(INDEX(AllDurs,MATCH($C124,AllNames,0))/60,1))</f>
        <v/>
      </c>
      <c r="E124" s="4" t="n"/>
    </row>
    <row r="125" ht="18" customHeight="1">
      <c r="A125" s="6" t="inlineStr"/>
      <c r="B125" s="6" t="inlineStr"/>
      <c r="C125" s="7" t="inlineStr"/>
      <c r="D125" s="6">
        <f>IF($C125="","",ROUND(INDEX(AllDurs,MATCH($C125,AllNames,0))/60,1))</f>
        <v/>
      </c>
      <c r="E125" s="6" t="inlineStr"/>
      <c r="F125" s="8" t="n"/>
    </row>
    <row r="126" ht="18" customHeight="1">
      <c r="A126" s="6" t="inlineStr"/>
      <c r="B126" s="6" t="inlineStr"/>
      <c r="C126" s="7" t="inlineStr"/>
      <c r="D126" s="6">
        <f>IF($C126="","",ROUND(INDEX(AllDurs,MATCH($C126,AllNames,0))/60,1))</f>
        <v/>
      </c>
      <c r="E126" s="6" t="inlineStr"/>
      <c r="F126" s="8" t="n"/>
    </row>
    <row r="127" ht="18" customHeight="1">
      <c r="A127" s="6" t="inlineStr"/>
      <c r="B127" s="6" t="inlineStr"/>
      <c r="C127" s="7" t="inlineStr"/>
      <c r="D127" s="6">
        <f>IF($C127="","",ROUND(INDEX(AllDurs,MATCH($C127,AllNames,0))/60,1))</f>
        <v/>
      </c>
      <c r="E127" s="6" t="inlineStr"/>
      <c r="F127" s="8" t="n"/>
    </row>
    <row r="128" ht="18" customHeight="1">
      <c r="A128" s="6" t="inlineStr"/>
      <c r="B128" s="6" t="inlineStr"/>
      <c r="C128" s="7" t="inlineStr"/>
      <c r="D128" s="6">
        <f>IF($C128="","",ROUND(INDEX(AllDurs,MATCH($C128,AllNames,0))/60,1))</f>
        <v/>
      </c>
      <c r="E128" s="6" t="inlineStr"/>
      <c r="F128" s="8" t="n"/>
    </row>
    <row r="129" ht="18" customHeight="1">
      <c r="A129" s="6" t="inlineStr"/>
      <c r="B129" s="6" t="inlineStr"/>
      <c r="C129" s="7" t="inlineStr"/>
      <c r="D129" s="6">
        <f>IF($C129="","",ROUND(INDEX(AllDurs,MATCH($C129,AllNames,0))/60,1))</f>
        <v/>
      </c>
      <c r="E129" s="6" t="inlineStr"/>
      <c r="F129" s="8" t="n"/>
    </row>
    <row r="130" ht="18" customHeight="1">
      <c r="A130" s="6" t="inlineStr"/>
      <c r="B130" s="6" t="inlineStr"/>
      <c r="C130" s="7" t="inlineStr"/>
      <c r="D130" s="6">
        <f>IF($C130="","",ROUND(INDEX(AllDurs,MATCH($C130,AllNames,0))/60,1))</f>
        <v/>
      </c>
      <c r="E130" s="6" t="inlineStr"/>
      <c r="F130" s="8" t="n"/>
    </row>
    <row r="131" ht="18" customHeight="1">
      <c r="A131" s="6" t="inlineStr"/>
      <c r="B131" s="6" t="inlineStr"/>
      <c r="C131" s="7" t="inlineStr"/>
      <c r="D131" s="6">
        <f>IF($C131="","",ROUND(INDEX(AllDurs,MATCH($C131,AllNames,0))/60,1))</f>
        <v/>
      </c>
      <c r="E131" s="6" t="inlineStr"/>
      <c r="F131" s="8" t="n"/>
    </row>
    <row r="132" ht="18" customHeight="1">
      <c r="A132" s="6" t="inlineStr"/>
      <c r="B132" s="6" t="inlineStr"/>
      <c r="C132" s="7" t="inlineStr"/>
      <c r="D132" s="6">
        <f>IF($C132="","",ROUND(INDEX(AllDurs,MATCH($C132,AllNames,0))/60,1))</f>
        <v/>
      </c>
      <c r="E132" s="6" t="inlineStr"/>
      <c r="F132" s="8" t="n"/>
    </row>
    <row r="133" ht="18" customHeight="1">
      <c r="A133" s="6" t="inlineStr"/>
      <c r="B133" s="6" t="inlineStr"/>
      <c r="C133" s="7" t="inlineStr"/>
      <c r="D133" s="6">
        <f>IF($C133="","",ROUND(INDEX(AllDurs,MATCH($C133,AllNames,0))/60,1))</f>
        <v/>
      </c>
      <c r="E133" s="6" t="inlineStr"/>
      <c r="F133" s="8" t="n"/>
    </row>
    <row r="134" ht="18" customHeight="1">
      <c r="A134" s="6" t="inlineStr"/>
      <c r="B134" s="6" t="inlineStr"/>
      <c r="C134" s="7" t="inlineStr"/>
      <c r="D134" s="6" t="inlineStr"/>
      <c r="E134" s="6" t="inlineStr"/>
      <c r="F134" s="8" t="n"/>
    </row>
    <row r="135" ht="20" customHeight="1">
      <c r="A135" s="8" t="n"/>
      <c r="B135" s="9" t="inlineStr">
        <is>
          <t>当日已看时长</t>
        </is>
      </c>
      <c r="C135" s="13" t="n"/>
      <c r="D135" s="14">
        <f>SUMIF($A$125:$A$134,1,$D$125:$D$134)</f>
        <v/>
      </c>
      <c r="E135" s="10" t="n"/>
      <c r="F135" s="10" t="n"/>
    </row>
    <row r="136" ht="22" customHeight="1">
      <c r="A136" s="4" t="n"/>
      <c r="B136" s="5" t="inlineStr">
        <is>
          <t>第12天</t>
        </is>
      </c>
      <c r="C136" s="13" t="n"/>
      <c r="D136" s="4">
        <f>IF($C136="","",ROUND(INDEX(AllDurs,MATCH($C136,AllNames,0))/60,1))</f>
        <v/>
      </c>
      <c r="E136" s="4" t="n"/>
    </row>
    <row r="137" ht="18" customHeight="1">
      <c r="A137" s="6" t="inlineStr"/>
      <c r="B137" s="6" t="inlineStr"/>
      <c r="C137" s="7" t="inlineStr"/>
      <c r="D137" s="6">
        <f>IF($C137="","",ROUND(INDEX(AllDurs,MATCH($C137,AllNames,0))/60,1))</f>
        <v/>
      </c>
      <c r="E137" s="6" t="inlineStr"/>
      <c r="F137" s="8" t="n"/>
    </row>
    <row r="138" ht="18" customHeight="1">
      <c r="A138" s="6" t="inlineStr"/>
      <c r="B138" s="6" t="inlineStr"/>
      <c r="C138" s="7" t="inlineStr"/>
      <c r="D138" s="6">
        <f>IF($C138="","",ROUND(INDEX(AllDurs,MATCH($C138,AllNames,0))/60,1))</f>
        <v/>
      </c>
      <c r="E138" s="6" t="inlineStr"/>
      <c r="F138" s="8" t="n"/>
    </row>
    <row r="139" ht="18" customHeight="1">
      <c r="A139" s="6" t="inlineStr"/>
      <c r="B139" s="6" t="inlineStr"/>
      <c r="C139" s="7" t="inlineStr"/>
      <c r="D139" s="6">
        <f>IF($C139="","",ROUND(INDEX(AllDurs,MATCH($C139,AllNames,0))/60,1))</f>
        <v/>
      </c>
      <c r="E139" s="6" t="inlineStr"/>
      <c r="F139" s="8" t="n"/>
    </row>
    <row r="140" ht="18" customHeight="1">
      <c r="A140" s="6" t="inlineStr"/>
      <c r="B140" s="6" t="inlineStr"/>
      <c r="C140" s="7" t="inlineStr"/>
      <c r="D140" s="6">
        <f>IF($C140="","",ROUND(INDEX(AllDurs,MATCH($C140,AllNames,0))/60,1))</f>
        <v/>
      </c>
      <c r="E140" s="6" t="inlineStr"/>
      <c r="F140" s="8" t="n"/>
    </row>
    <row r="141" ht="18" customHeight="1">
      <c r="A141" s="6" t="inlineStr"/>
      <c r="B141" s="6" t="inlineStr"/>
      <c r="C141" s="7" t="inlineStr"/>
      <c r="D141" s="6">
        <f>IF($C141="","",ROUND(INDEX(AllDurs,MATCH($C141,AllNames,0))/60,1))</f>
        <v/>
      </c>
      <c r="E141" s="6" t="inlineStr"/>
      <c r="F141" s="8" t="n"/>
    </row>
    <row r="142" ht="18" customHeight="1">
      <c r="A142" s="6" t="inlineStr"/>
      <c r="B142" s="6" t="inlineStr"/>
      <c r="C142" s="7" t="inlineStr"/>
      <c r="D142" s="6">
        <f>IF($C142="","",ROUND(INDEX(AllDurs,MATCH($C142,AllNames,0))/60,1))</f>
        <v/>
      </c>
      <c r="E142" s="6" t="inlineStr"/>
      <c r="F142" s="8" t="n"/>
    </row>
    <row r="143" ht="18" customHeight="1">
      <c r="A143" s="6" t="inlineStr"/>
      <c r="B143" s="6" t="inlineStr"/>
      <c r="C143" s="7" t="inlineStr"/>
      <c r="D143" s="6">
        <f>IF($C143="","",ROUND(INDEX(AllDurs,MATCH($C143,AllNames,0))/60,1))</f>
        <v/>
      </c>
      <c r="E143" s="6" t="inlineStr"/>
      <c r="F143" s="8" t="n"/>
    </row>
    <row r="144" ht="18" customHeight="1">
      <c r="A144" s="6" t="inlineStr"/>
      <c r="B144" s="6" t="inlineStr"/>
      <c r="C144" s="7" t="inlineStr"/>
      <c r="D144" s="6">
        <f>IF($C144="","",ROUND(INDEX(AllDurs,MATCH($C144,AllNames,0))/60,1))</f>
        <v/>
      </c>
      <c r="E144" s="6" t="inlineStr"/>
      <c r="F144" s="8" t="n"/>
    </row>
    <row r="145" ht="18" customHeight="1">
      <c r="A145" s="6" t="inlineStr"/>
      <c r="B145" s="6" t="inlineStr"/>
      <c r="C145" s="7" t="inlineStr"/>
      <c r="D145" s="6">
        <f>IF($C145="","",ROUND(INDEX(AllDurs,MATCH($C145,AllNames,0))/60,1))</f>
        <v/>
      </c>
      <c r="E145" s="6" t="inlineStr"/>
      <c r="F145" s="8" t="n"/>
    </row>
    <row r="146" ht="18" customHeight="1">
      <c r="A146" s="6" t="inlineStr"/>
      <c r="B146" s="6" t="inlineStr"/>
      <c r="C146" s="7" t="inlineStr"/>
      <c r="D146" s="6" t="inlineStr"/>
      <c r="E146" s="6" t="inlineStr"/>
      <c r="F146" s="8" t="n"/>
    </row>
    <row r="147" ht="20" customHeight="1">
      <c r="A147" s="8" t="n"/>
      <c r="B147" s="9" t="inlineStr">
        <is>
          <t>当日已看时长</t>
        </is>
      </c>
      <c r="C147" s="13" t="n"/>
      <c r="D147" s="14">
        <f>SUMIF($A$137:$A$146,1,$D$137:$D$146)</f>
        <v/>
      </c>
      <c r="E147" s="10" t="n"/>
      <c r="F147" s="10" t="n"/>
    </row>
    <row r="148" ht="22" customHeight="1">
      <c r="A148" s="4" t="n"/>
      <c r="B148" s="5" t="inlineStr">
        <is>
          <t>第13天</t>
        </is>
      </c>
      <c r="C148" s="13" t="n"/>
      <c r="D148" s="4">
        <f>IF($C148="","",ROUND(INDEX(AllDurs,MATCH($C148,AllNames,0))/60,1))</f>
        <v/>
      </c>
      <c r="E148" s="4" t="n"/>
    </row>
    <row r="149" ht="18" customHeight="1">
      <c r="A149" s="6" t="inlineStr"/>
      <c r="B149" s="6" t="inlineStr"/>
      <c r="C149" s="7" t="inlineStr"/>
      <c r="D149" s="6">
        <f>IF($C149="","",ROUND(INDEX(AllDurs,MATCH($C149,AllNames,0))/60,1))</f>
        <v/>
      </c>
      <c r="E149" s="6" t="inlineStr"/>
      <c r="F149" s="8" t="n"/>
    </row>
    <row r="150" ht="18" customHeight="1">
      <c r="A150" s="6" t="inlineStr"/>
      <c r="B150" s="6" t="inlineStr"/>
      <c r="C150" s="7" t="inlineStr"/>
      <c r="D150" s="6">
        <f>IF($C150="","",ROUND(INDEX(AllDurs,MATCH($C150,AllNames,0))/60,1))</f>
        <v/>
      </c>
      <c r="E150" s="6" t="inlineStr"/>
      <c r="F150" s="8" t="n"/>
    </row>
    <row r="151" ht="18" customHeight="1">
      <c r="A151" s="6" t="inlineStr"/>
      <c r="B151" s="6" t="inlineStr"/>
      <c r="C151" s="7" t="inlineStr"/>
      <c r="D151" s="6">
        <f>IF($C151="","",ROUND(INDEX(AllDurs,MATCH($C151,AllNames,0))/60,1))</f>
        <v/>
      </c>
      <c r="E151" s="6" t="inlineStr"/>
      <c r="F151" s="8" t="n"/>
    </row>
    <row r="152" ht="18" customHeight="1">
      <c r="A152" s="6" t="inlineStr"/>
      <c r="B152" s="6" t="inlineStr"/>
      <c r="C152" s="7" t="inlineStr"/>
      <c r="D152" s="6">
        <f>IF($C152="","",ROUND(INDEX(AllDurs,MATCH($C152,AllNames,0))/60,1))</f>
        <v/>
      </c>
      <c r="E152" s="6" t="inlineStr"/>
      <c r="F152" s="8" t="n"/>
    </row>
    <row r="153" ht="18" customHeight="1">
      <c r="A153" s="6" t="inlineStr"/>
      <c r="B153" s="6" t="inlineStr"/>
      <c r="C153" s="7" t="inlineStr"/>
      <c r="D153" s="6">
        <f>IF($C153="","",ROUND(INDEX(AllDurs,MATCH($C153,AllNames,0))/60,1))</f>
        <v/>
      </c>
      <c r="E153" s="6" t="inlineStr"/>
      <c r="F153" s="8" t="n"/>
    </row>
    <row r="154" ht="18" customHeight="1">
      <c r="A154" s="6" t="inlineStr"/>
      <c r="B154" s="6" t="inlineStr"/>
      <c r="C154" s="7" t="inlineStr"/>
      <c r="D154" s="6">
        <f>IF($C154="","",ROUND(INDEX(AllDurs,MATCH($C154,AllNames,0))/60,1))</f>
        <v/>
      </c>
      <c r="E154" s="6" t="inlineStr"/>
      <c r="F154" s="8" t="n"/>
    </row>
    <row r="155" ht="18" customHeight="1">
      <c r="A155" s="6" t="inlineStr"/>
      <c r="B155" s="6" t="inlineStr"/>
      <c r="C155" s="7" t="inlineStr"/>
      <c r="D155" s="6">
        <f>IF($C155="","",ROUND(INDEX(AllDurs,MATCH($C155,AllNames,0))/60,1))</f>
        <v/>
      </c>
      <c r="E155" s="6" t="inlineStr"/>
      <c r="F155" s="8" t="n"/>
    </row>
    <row r="156" ht="18" customHeight="1">
      <c r="A156" s="6" t="inlineStr"/>
      <c r="B156" s="6" t="inlineStr"/>
      <c r="C156" s="7" t="inlineStr"/>
      <c r="D156" s="6">
        <f>IF($C156="","",ROUND(INDEX(AllDurs,MATCH($C156,AllNames,0))/60,1))</f>
        <v/>
      </c>
      <c r="E156" s="6" t="inlineStr"/>
      <c r="F156" s="8" t="n"/>
    </row>
    <row r="157" ht="18" customHeight="1">
      <c r="A157" s="6" t="inlineStr"/>
      <c r="B157" s="6" t="inlineStr"/>
      <c r="C157" s="7" t="inlineStr"/>
      <c r="D157" s="6">
        <f>IF($C157="","",ROUND(INDEX(AllDurs,MATCH($C157,AllNames,0))/60,1))</f>
        <v/>
      </c>
      <c r="E157" s="6" t="inlineStr"/>
      <c r="F157" s="8" t="n"/>
    </row>
    <row r="158" ht="18" customHeight="1">
      <c r="A158" s="6" t="inlineStr"/>
      <c r="B158" s="6" t="inlineStr"/>
      <c r="C158" s="7" t="inlineStr"/>
      <c r="D158" s="6" t="inlineStr"/>
      <c r="E158" s="6" t="inlineStr"/>
      <c r="F158" s="8" t="n"/>
    </row>
    <row r="159" ht="20" customHeight="1">
      <c r="A159" s="8" t="n"/>
      <c r="B159" s="9" t="inlineStr">
        <is>
          <t>当日已看时长</t>
        </is>
      </c>
      <c r="C159" s="13" t="n"/>
      <c r="D159" s="14">
        <f>SUMIF($A$149:$A$158,1,$D$149:$D$158)</f>
        <v/>
      </c>
      <c r="E159" s="10" t="n"/>
      <c r="F159" s="10" t="n"/>
    </row>
    <row r="160" ht="22" customHeight="1">
      <c r="A160" s="4" t="n"/>
      <c r="B160" s="5" t="inlineStr">
        <is>
          <t>第14天</t>
        </is>
      </c>
      <c r="C160" s="13" t="n"/>
      <c r="D160" s="4">
        <f>IF($C160="","",ROUND(INDEX(AllDurs,MATCH($C160,AllNames,0))/60,1))</f>
        <v/>
      </c>
      <c r="E160" s="4" t="n"/>
    </row>
    <row r="161" ht="18" customHeight="1">
      <c r="A161" s="6" t="inlineStr"/>
      <c r="B161" s="6" t="inlineStr"/>
      <c r="C161" s="7" t="inlineStr"/>
      <c r="D161" s="6">
        <f>IF($C161="","",ROUND(INDEX(AllDurs,MATCH($C161,AllNames,0))/60,1))</f>
        <v/>
      </c>
      <c r="E161" s="6" t="inlineStr"/>
      <c r="F161" s="8" t="n"/>
    </row>
    <row r="162" ht="18" customHeight="1">
      <c r="A162" s="6" t="inlineStr"/>
      <c r="B162" s="6" t="inlineStr"/>
      <c r="C162" s="7" t="inlineStr"/>
      <c r="D162" s="6">
        <f>IF($C162="","",ROUND(INDEX(AllDurs,MATCH($C162,AllNames,0))/60,1))</f>
        <v/>
      </c>
      <c r="E162" s="6" t="inlineStr"/>
      <c r="F162" s="8" t="n"/>
    </row>
    <row r="163" ht="18" customHeight="1">
      <c r="A163" s="6" t="inlineStr"/>
      <c r="B163" s="6" t="inlineStr"/>
      <c r="C163" s="7" t="inlineStr"/>
      <c r="D163" s="6">
        <f>IF($C163="","",ROUND(INDEX(AllDurs,MATCH($C163,AllNames,0))/60,1))</f>
        <v/>
      </c>
      <c r="E163" s="6" t="inlineStr"/>
      <c r="F163" s="8" t="n"/>
    </row>
    <row r="164" ht="18" customHeight="1">
      <c r="A164" s="6" t="inlineStr"/>
      <c r="B164" s="6" t="inlineStr"/>
      <c r="C164" s="7" t="inlineStr"/>
      <c r="D164" s="6">
        <f>IF($C164="","",ROUND(INDEX(AllDurs,MATCH($C164,AllNames,0))/60,1))</f>
        <v/>
      </c>
      <c r="E164" s="6" t="inlineStr"/>
      <c r="F164" s="8" t="n"/>
    </row>
    <row r="165" ht="18" customHeight="1">
      <c r="A165" s="6" t="inlineStr"/>
      <c r="B165" s="6" t="inlineStr"/>
      <c r="C165" s="7" t="inlineStr"/>
      <c r="D165" s="6">
        <f>IF($C165="","",ROUND(INDEX(AllDurs,MATCH($C165,AllNames,0))/60,1))</f>
        <v/>
      </c>
      <c r="E165" s="6" t="inlineStr"/>
      <c r="F165" s="8" t="n"/>
    </row>
    <row r="166" ht="18" customHeight="1">
      <c r="A166" s="6" t="inlineStr"/>
      <c r="B166" s="6" t="inlineStr"/>
      <c r="C166" s="7" t="inlineStr"/>
      <c r="D166" s="6">
        <f>IF($C166="","",ROUND(INDEX(AllDurs,MATCH($C166,AllNames,0))/60,1))</f>
        <v/>
      </c>
      <c r="E166" s="6" t="inlineStr"/>
      <c r="F166" s="8" t="n"/>
    </row>
    <row r="167" ht="18" customHeight="1">
      <c r="A167" s="6" t="inlineStr"/>
      <c r="B167" s="6" t="inlineStr"/>
      <c r="C167" s="7" t="inlineStr"/>
      <c r="D167" s="6">
        <f>IF($C167="","",ROUND(INDEX(AllDurs,MATCH($C167,AllNames,0))/60,1))</f>
        <v/>
      </c>
      <c r="E167" s="6" t="inlineStr"/>
      <c r="F167" s="8" t="n"/>
    </row>
    <row r="168" ht="18" customHeight="1">
      <c r="A168" s="6" t="inlineStr"/>
      <c r="B168" s="6" t="inlineStr"/>
      <c r="C168" s="7" t="inlineStr"/>
      <c r="D168" s="6">
        <f>IF($C168="","",ROUND(INDEX(AllDurs,MATCH($C168,AllNames,0))/60,1))</f>
        <v/>
      </c>
      <c r="E168" s="6" t="inlineStr"/>
      <c r="F168" s="8" t="n"/>
    </row>
    <row r="169" ht="18" customHeight="1">
      <c r="A169" s="6" t="inlineStr"/>
      <c r="B169" s="6" t="inlineStr"/>
      <c r="C169" s="7" t="inlineStr"/>
      <c r="D169" s="6">
        <f>IF($C169="","",ROUND(INDEX(AllDurs,MATCH($C169,AllNames,0))/60,1))</f>
        <v/>
      </c>
      <c r="E169" s="6" t="inlineStr"/>
      <c r="F169" s="8" t="n"/>
    </row>
    <row r="170" ht="18" customHeight="1">
      <c r="A170" s="6" t="inlineStr"/>
      <c r="B170" s="6" t="inlineStr"/>
      <c r="C170" s="7" t="inlineStr"/>
      <c r="D170" s="6" t="inlineStr"/>
      <c r="E170" s="6" t="inlineStr"/>
      <c r="F170" s="8" t="n"/>
    </row>
    <row r="171" ht="20" customHeight="1">
      <c r="A171" s="8" t="n"/>
      <c r="B171" s="9" t="inlineStr">
        <is>
          <t>当日已看时长</t>
        </is>
      </c>
      <c r="C171" s="13" t="n"/>
      <c r="D171" s="14">
        <f>SUMIF($A$161:$A$170,1,$D$161:$D$170)</f>
        <v/>
      </c>
      <c r="E171" s="10" t="n"/>
      <c r="F171" s="10" t="n"/>
    </row>
    <row r="172" ht="22" customHeight="1">
      <c r="A172" s="4" t="n"/>
      <c r="B172" s="5" t="inlineStr">
        <is>
          <t>第15天</t>
        </is>
      </c>
      <c r="C172" s="13" t="n"/>
      <c r="D172" s="4">
        <f>IF($C172="","",ROUND(INDEX(AllDurs,MATCH($C172,AllNames,0))/60,1))</f>
        <v/>
      </c>
      <c r="E172" s="4" t="n"/>
    </row>
    <row r="173" ht="18" customHeight="1">
      <c r="A173" s="6" t="inlineStr"/>
      <c r="B173" s="6" t="inlineStr"/>
      <c r="C173" s="7" t="inlineStr"/>
      <c r="D173" s="6">
        <f>IF($C173="","",ROUND(INDEX(AllDurs,MATCH($C173,AllNames,0))/60,1))</f>
        <v/>
      </c>
      <c r="E173" s="6" t="inlineStr"/>
      <c r="F173" s="8" t="n"/>
    </row>
    <row r="174" ht="18" customHeight="1">
      <c r="A174" s="6" t="inlineStr"/>
      <c r="B174" s="6" t="inlineStr"/>
      <c r="C174" s="7" t="inlineStr"/>
      <c r="D174" s="6">
        <f>IF($C174="","",ROUND(INDEX(AllDurs,MATCH($C174,AllNames,0))/60,1))</f>
        <v/>
      </c>
      <c r="E174" s="6" t="inlineStr"/>
      <c r="F174" s="8" t="n"/>
    </row>
    <row r="175" ht="18" customHeight="1">
      <c r="A175" s="6" t="inlineStr"/>
      <c r="B175" s="6" t="inlineStr"/>
      <c r="C175" s="7" t="inlineStr"/>
      <c r="D175" s="6">
        <f>IF($C175="","",ROUND(INDEX(AllDurs,MATCH($C175,AllNames,0))/60,1))</f>
        <v/>
      </c>
      <c r="E175" s="6" t="inlineStr"/>
      <c r="F175" s="8" t="n"/>
    </row>
    <row r="176" ht="18" customHeight="1">
      <c r="A176" s="6" t="inlineStr"/>
      <c r="B176" s="6" t="inlineStr"/>
      <c r="C176" s="7" t="inlineStr"/>
      <c r="D176" s="6">
        <f>IF($C176="","",ROUND(INDEX(AllDurs,MATCH($C176,AllNames,0))/60,1))</f>
        <v/>
      </c>
      <c r="E176" s="6" t="inlineStr"/>
      <c r="F176" s="8" t="n"/>
    </row>
    <row r="177" ht="18" customHeight="1">
      <c r="A177" s="6" t="inlineStr"/>
      <c r="B177" s="6" t="inlineStr"/>
      <c r="C177" s="7" t="inlineStr"/>
      <c r="D177" s="6">
        <f>IF($C177="","",ROUND(INDEX(AllDurs,MATCH($C177,AllNames,0))/60,1))</f>
        <v/>
      </c>
      <c r="E177" s="6" t="inlineStr"/>
      <c r="F177" s="8" t="n"/>
    </row>
    <row r="178" ht="18" customHeight="1">
      <c r="A178" s="6" t="inlineStr"/>
      <c r="B178" s="6" t="inlineStr"/>
      <c r="C178" s="7" t="inlineStr"/>
      <c r="D178" s="6">
        <f>IF($C178="","",ROUND(INDEX(AllDurs,MATCH($C178,AllNames,0))/60,1))</f>
        <v/>
      </c>
      <c r="E178" s="6" t="inlineStr"/>
      <c r="F178" s="8" t="n"/>
    </row>
    <row r="179" ht="18" customHeight="1">
      <c r="A179" s="6" t="inlineStr"/>
      <c r="B179" s="6" t="inlineStr"/>
      <c r="C179" s="7" t="inlineStr"/>
      <c r="D179" s="6">
        <f>IF($C179="","",ROUND(INDEX(AllDurs,MATCH($C179,AllNames,0))/60,1))</f>
        <v/>
      </c>
      <c r="E179" s="6" t="inlineStr"/>
      <c r="F179" s="8" t="n"/>
    </row>
    <row r="180" ht="18" customHeight="1">
      <c r="A180" s="6" t="inlineStr"/>
      <c r="B180" s="6" t="inlineStr"/>
      <c r="C180" s="7" t="inlineStr"/>
      <c r="D180" s="6">
        <f>IF($C180="","",ROUND(INDEX(AllDurs,MATCH($C180,AllNames,0))/60,1))</f>
        <v/>
      </c>
      <c r="E180" s="6" t="inlineStr"/>
      <c r="F180" s="8" t="n"/>
    </row>
    <row r="181" ht="18" customHeight="1">
      <c r="A181" s="6" t="inlineStr"/>
      <c r="B181" s="6" t="inlineStr"/>
      <c r="C181" s="7" t="inlineStr"/>
      <c r="D181" s="6">
        <f>IF($C181="","",ROUND(INDEX(AllDurs,MATCH($C181,AllNames,0))/60,1))</f>
        <v/>
      </c>
      <c r="E181" s="6" t="inlineStr"/>
      <c r="F181" s="8" t="n"/>
    </row>
    <row r="182" ht="18" customHeight="1">
      <c r="A182" s="6" t="inlineStr"/>
      <c r="B182" s="6" t="inlineStr"/>
      <c r="C182" s="7" t="inlineStr"/>
      <c r="D182" s="6" t="inlineStr"/>
      <c r="E182" s="6" t="inlineStr"/>
      <c r="F182" s="8" t="n"/>
    </row>
    <row r="183" ht="20" customHeight="1">
      <c r="A183" s="8" t="n"/>
      <c r="B183" s="9" t="inlineStr">
        <is>
          <t>当日已看时长</t>
        </is>
      </c>
      <c r="C183" s="13" t="n"/>
      <c r="D183" s="14">
        <f>SUMIF($A$173:$A$182,1,$D$173:$D$182)</f>
        <v/>
      </c>
      <c r="E183" s="10" t="n"/>
      <c r="F183" s="10" t="n"/>
    </row>
    <row r="184" ht="22" customHeight="1">
      <c r="A184" s="4" t="n"/>
      <c r="B184" s="5" t="inlineStr">
        <is>
          <t>第16天</t>
        </is>
      </c>
      <c r="C184" s="13" t="n"/>
      <c r="D184" s="4">
        <f>IF($C184="","",ROUND(INDEX(AllDurs,MATCH($C184,AllNames,0))/60,1))</f>
        <v/>
      </c>
      <c r="E184" s="4" t="n"/>
    </row>
    <row r="185" ht="18" customHeight="1">
      <c r="A185" s="6" t="inlineStr"/>
      <c r="B185" s="6" t="inlineStr"/>
      <c r="C185" s="7" t="inlineStr"/>
      <c r="D185" s="6">
        <f>IF($C185="","",ROUND(INDEX(AllDurs,MATCH($C185,AllNames,0))/60,1))</f>
        <v/>
      </c>
      <c r="E185" s="6" t="inlineStr"/>
      <c r="F185" s="8" t="n"/>
    </row>
    <row r="186" ht="18" customHeight="1">
      <c r="A186" s="6" t="inlineStr"/>
      <c r="B186" s="6" t="inlineStr"/>
      <c r="C186" s="7" t="inlineStr"/>
      <c r="D186" s="6">
        <f>IF($C186="","",ROUND(INDEX(AllDurs,MATCH($C186,AllNames,0))/60,1))</f>
        <v/>
      </c>
      <c r="E186" s="6" t="inlineStr"/>
      <c r="F186" s="8" t="n"/>
    </row>
    <row r="187" ht="18" customHeight="1">
      <c r="A187" s="6" t="inlineStr"/>
      <c r="B187" s="6" t="inlineStr"/>
      <c r="C187" s="7" t="inlineStr"/>
      <c r="D187" s="6">
        <f>IF($C187="","",ROUND(INDEX(AllDurs,MATCH($C187,AllNames,0))/60,1))</f>
        <v/>
      </c>
      <c r="E187" s="6" t="inlineStr"/>
      <c r="F187" s="8" t="n"/>
    </row>
    <row r="188" ht="18" customHeight="1">
      <c r="A188" s="6" t="inlineStr"/>
      <c r="B188" s="6" t="inlineStr"/>
      <c r="C188" s="7" t="inlineStr"/>
      <c r="D188" s="6">
        <f>IF($C188="","",ROUND(INDEX(AllDurs,MATCH($C188,AllNames,0))/60,1))</f>
        <v/>
      </c>
      <c r="E188" s="6" t="inlineStr"/>
      <c r="F188" s="8" t="n"/>
    </row>
    <row r="189" ht="18" customHeight="1">
      <c r="A189" s="6" t="inlineStr"/>
      <c r="B189" s="6" t="inlineStr"/>
      <c r="C189" s="7" t="inlineStr"/>
      <c r="D189" s="6">
        <f>IF($C189="","",ROUND(INDEX(AllDurs,MATCH($C189,AllNames,0))/60,1))</f>
        <v/>
      </c>
      <c r="E189" s="6" t="inlineStr"/>
      <c r="F189" s="8" t="n"/>
    </row>
    <row r="190" ht="18" customHeight="1">
      <c r="A190" s="6" t="inlineStr"/>
      <c r="B190" s="6" t="inlineStr"/>
      <c r="C190" s="7" t="inlineStr"/>
      <c r="D190" s="6">
        <f>IF($C190="","",ROUND(INDEX(AllDurs,MATCH($C190,AllNames,0))/60,1))</f>
        <v/>
      </c>
      <c r="E190" s="6" t="inlineStr"/>
      <c r="F190" s="8" t="n"/>
    </row>
    <row r="191" ht="18" customHeight="1">
      <c r="A191" s="6" t="inlineStr"/>
      <c r="B191" s="6" t="inlineStr"/>
      <c r="C191" s="7" t="inlineStr"/>
      <c r="D191" s="6">
        <f>IF($C191="","",ROUND(INDEX(AllDurs,MATCH($C191,AllNames,0))/60,1))</f>
        <v/>
      </c>
      <c r="E191" s="6" t="inlineStr"/>
      <c r="F191" s="8" t="n"/>
    </row>
    <row r="192" ht="18" customHeight="1">
      <c r="A192" s="6" t="inlineStr"/>
      <c r="B192" s="6" t="inlineStr"/>
      <c r="C192" s="7" t="inlineStr"/>
      <c r="D192" s="6">
        <f>IF($C192="","",ROUND(INDEX(AllDurs,MATCH($C192,AllNames,0))/60,1))</f>
        <v/>
      </c>
      <c r="E192" s="6" t="inlineStr"/>
      <c r="F192" s="8" t="n"/>
    </row>
    <row r="193" ht="18" customHeight="1">
      <c r="A193" s="6" t="inlineStr"/>
      <c r="B193" s="6" t="inlineStr"/>
      <c r="C193" s="7" t="inlineStr"/>
      <c r="D193" s="6">
        <f>IF($C193="","",ROUND(INDEX(AllDurs,MATCH($C193,AllNames,0))/60,1))</f>
        <v/>
      </c>
      <c r="E193" s="6" t="inlineStr"/>
      <c r="F193" s="8" t="n"/>
    </row>
    <row r="194" ht="18" customHeight="1">
      <c r="A194" s="6" t="inlineStr"/>
      <c r="B194" s="6" t="inlineStr"/>
      <c r="C194" s="7" t="inlineStr"/>
      <c r="D194" s="6" t="inlineStr"/>
      <c r="E194" s="6" t="inlineStr"/>
      <c r="F194" s="8" t="n"/>
    </row>
    <row r="195" ht="20" customHeight="1">
      <c r="A195" s="8" t="n"/>
      <c r="B195" s="9" t="inlineStr">
        <is>
          <t>当日已看时长</t>
        </is>
      </c>
      <c r="C195" s="13" t="n"/>
      <c r="D195" s="14">
        <f>SUMIF($A$185:$A$194,1,$D$185:$D$194)</f>
        <v/>
      </c>
      <c r="E195" s="10" t="n"/>
      <c r="F195" s="10" t="n"/>
    </row>
    <row r="196" ht="22" customHeight="1">
      <c r="A196" s="4" t="n"/>
      <c r="B196" s="5" t="inlineStr">
        <is>
          <t>第17天</t>
        </is>
      </c>
      <c r="C196" s="13" t="n"/>
      <c r="D196" s="4">
        <f>IF($C196="","",ROUND(INDEX(AllDurs,MATCH($C196,AllNames,0))/60,1))</f>
        <v/>
      </c>
      <c r="E196" s="4" t="n"/>
    </row>
    <row r="197" ht="18" customHeight="1">
      <c r="A197" s="6" t="inlineStr"/>
      <c r="B197" s="6" t="inlineStr"/>
      <c r="C197" s="7" t="inlineStr"/>
      <c r="D197" s="6">
        <f>IF($C197="","",ROUND(INDEX(AllDurs,MATCH($C197,AllNames,0))/60,1))</f>
        <v/>
      </c>
      <c r="E197" s="6" t="inlineStr"/>
      <c r="F197" s="8" t="n"/>
    </row>
    <row r="198" ht="18" customHeight="1">
      <c r="A198" s="6" t="inlineStr"/>
      <c r="B198" s="6" t="inlineStr"/>
      <c r="C198" s="7" t="inlineStr"/>
      <c r="D198" s="6">
        <f>IF($C198="","",ROUND(INDEX(AllDurs,MATCH($C198,AllNames,0))/60,1))</f>
        <v/>
      </c>
      <c r="E198" s="6" t="inlineStr"/>
      <c r="F198" s="8" t="n"/>
    </row>
    <row r="199" ht="18" customHeight="1">
      <c r="A199" s="6" t="inlineStr"/>
      <c r="B199" s="6" t="inlineStr"/>
      <c r="C199" s="7" t="inlineStr"/>
      <c r="D199" s="6">
        <f>IF($C199="","",ROUND(INDEX(AllDurs,MATCH($C199,AllNames,0))/60,1))</f>
        <v/>
      </c>
      <c r="E199" s="6" t="inlineStr"/>
      <c r="F199" s="8" t="n"/>
    </row>
    <row r="200" ht="18" customHeight="1">
      <c r="A200" s="6" t="inlineStr"/>
      <c r="B200" s="6" t="inlineStr"/>
      <c r="C200" s="7" t="inlineStr"/>
      <c r="D200" s="6">
        <f>IF($C200="","",ROUND(INDEX(AllDurs,MATCH($C200,AllNames,0))/60,1))</f>
        <v/>
      </c>
      <c r="E200" s="6" t="inlineStr"/>
      <c r="F200" s="8" t="n"/>
    </row>
    <row r="201" ht="18" customHeight="1">
      <c r="A201" s="6" t="inlineStr"/>
      <c r="B201" s="6" t="inlineStr"/>
      <c r="C201" s="7" t="inlineStr"/>
      <c r="D201" s="6">
        <f>IF($C201="","",ROUND(INDEX(AllDurs,MATCH($C201,AllNames,0))/60,1))</f>
        <v/>
      </c>
      <c r="E201" s="6" t="inlineStr"/>
      <c r="F201" s="8" t="n"/>
    </row>
    <row r="202" ht="18" customHeight="1">
      <c r="A202" s="6" t="inlineStr"/>
      <c r="B202" s="6" t="inlineStr"/>
      <c r="C202" s="7" t="inlineStr"/>
      <c r="D202" s="6">
        <f>IF($C202="","",ROUND(INDEX(AllDurs,MATCH($C202,AllNames,0))/60,1))</f>
        <v/>
      </c>
      <c r="E202" s="6" t="inlineStr"/>
      <c r="F202" s="8" t="n"/>
    </row>
    <row r="203" ht="18" customHeight="1">
      <c r="A203" s="6" t="inlineStr"/>
      <c r="B203" s="6" t="inlineStr"/>
      <c r="C203" s="7" t="inlineStr"/>
      <c r="D203" s="6">
        <f>IF($C203="","",ROUND(INDEX(AllDurs,MATCH($C203,AllNames,0))/60,1))</f>
        <v/>
      </c>
      <c r="E203" s="6" t="inlineStr"/>
      <c r="F203" s="8" t="n"/>
    </row>
    <row r="204" ht="18" customHeight="1">
      <c r="A204" s="6" t="inlineStr"/>
      <c r="B204" s="6" t="inlineStr"/>
      <c r="C204" s="7" t="inlineStr"/>
      <c r="D204" s="6">
        <f>IF($C204="","",ROUND(INDEX(AllDurs,MATCH($C204,AllNames,0))/60,1))</f>
        <v/>
      </c>
      <c r="E204" s="6" t="inlineStr"/>
      <c r="F204" s="8" t="n"/>
    </row>
    <row r="205" ht="18" customHeight="1">
      <c r="A205" s="6" t="inlineStr"/>
      <c r="B205" s="6" t="inlineStr"/>
      <c r="C205" s="7" t="inlineStr"/>
      <c r="D205" s="6">
        <f>IF($C205="","",ROUND(INDEX(AllDurs,MATCH($C205,AllNames,0))/60,1))</f>
        <v/>
      </c>
      <c r="E205" s="6" t="inlineStr"/>
      <c r="F205" s="8" t="n"/>
    </row>
    <row r="206" ht="18" customHeight="1">
      <c r="A206" s="6" t="inlineStr"/>
      <c r="B206" s="6" t="inlineStr"/>
      <c r="C206" s="7" t="inlineStr"/>
      <c r="D206" s="6" t="inlineStr"/>
      <c r="E206" s="6" t="inlineStr"/>
      <c r="F206" s="8" t="n"/>
    </row>
    <row r="207" ht="20" customHeight="1">
      <c r="A207" s="8" t="n"/>
      <c r="B207" s="9" t="inlineStr">
        <is>
          <t>当日已看时长</t>
        </is>
      </c>
      <c r="C207" s="13" t="n"/>
      <c r="D207" s="14">
        <f>SUMIF($A$197:$A$206,1,$D$197:$D$206)</f>
        <v/>
      </c>
      <c r="E207" s="10" t="n"/>
      <c r="F207" s="10" t="n"/>
    </row>
    <row r="208" ht="22" customHeight="1">
      <c r="A208" s="4" t="n"/>
      <c r="B208" s="5" t="inlineStr">
        <is>
          <t>第18天</t>
        </is>
      </c>
      <c r="C208" s="13" t="n"/>
      <c r="D208" s="4">
        <f>IF($C208="","",ROUND(INDEX(AllDurs,MATCH($C208,AllNames,0))/60,1))</f>
        <v/>
      </c>
      <c r="E208" s="4" t="n"/>
    </row>
    <row r="209" ht="18" customHeight="1">
      <c r="A209" s="6" t="inlineStr"/>
      <c r="B209" s="6" t="inlineStr"/>
      <c r="C209" s="7" t="inlineStr"/>
      <c r="D209" s="6">
        <f>IF($C209="","",ROUND(INDEX(AllDurs,MATCH($C209,AllNames,0))/60,1))</f>
        <v/>
      </c>
      <c r="E209" s="6" t="inlineStr"/>
      <c r="F209" s="8" t="n"/>
    </row>
    <row r="210" ht="18" customHeight="1">
      <c r="A210" s="6" t="inlineStr"/>
      <c r="B210" s="6" t="inlineStr"/>
      <c r="C210" s="7" t="inlineStr"/>
      <c r="D210" s="6">
        <f>IF($C210="","",ROUND(INDEX(AllDurs,MATCH($C210,AllNames,0))/60,1))</f>
        <v/>
      </c>
      <c r="E210" s="6" t="inlineStr"/>
      <c r="F210" s="8" t="n"/>
    </row>
    <row r="211" ht="18" customHeight="1">
      <c r="A211" s="6" t="inlineStr"/>
      <c r="B211" s="6" t="inlineStr"/>
      <c r="C211" s="7" t="inlineStr"/>
      <c r="D211" s="6">
        <f>IF($C211="","",ROUND(INDEX(AllDurs,MATCH($C211,AllNames,0))/60,1))</f>
        <v/>
      </c>
      <c r="E211" s="6" t="inlineStr"/>
      <c r="F211" s="8" t="n"/>
    </row>
    <row r="212" ht="18" customHeight="1">
      <c r="A212" s="6" t="inlineStr"/>
      <c r="B212" s="6" t="inlineStr"/>
      <c r="C212" s="7" t="inlineStr"/>
      <c r="D212" s="6">
        <f>IF($C212="","",ROUND(INDEX(AllDurs,MATCH($C212,AllNames,0))/60,1))</f>
        <v/>
      </c>
      <c r="E212" s="6" t="inlineStr"/>
      <c r="F212" s="8" t="n"/>
    </row>
    <row r="213" ht="18" customHeight="1">
      <c r="A213" s="6" t="inlineStr"/>
      <c r="B213" s="6" t="inlineStr"/>
      <c r="C213" s="7" t="inlineStr"/>
      <c r="D213" s="6">
        <f>IF($C213="","",ROUND(INDEX(AllDurs,MATCH($C213,AllNames,0))/60,1))</f>
        <v/>
      </c>
      <c r="E213" s="6" t="inlineStr"/>
      <c r="F213" s="8" t="n"/>
    </row>
    <row r="214" ht="18" customHeight="1">
      <c r="A214" s="6" t="inlineStr"/>
      <c r="B214" s="6" t="inlineStr"/>
      <c r="C214" s="7" t="inlineStr"/>
      <c r="D214" s="6">
        <f>IF($C214="","",ROUND(INDEX(AllDurs,MATCH($C214,AllNames,0))/60,1))</f>
        <v/>
      </c>
      <c r="E214" s="6" t="inlineStr"/>
      <c r="F214" s="8" t="n"/>
    </row>
    <row r="215" ht="18" customHeight="1">
      <c r="A215" s="6" t="inlineStr"/>
      <c r="B215" s="6" t="inlineStr"/>
      <c r="C215" s="7" t="inlineStr"/>
      <c r="D215" s="6">
        <f>IF($C215="","",ROUND(INDEX(AllDurs,MATCH($C215,AllNames,0))/60,1))</f>
        <v/>
      </c>
      <c r="E215" s="6" t="inlineStr"/>
      <c r="F215" s="8" t="n"/>
    </row>
    <row r="216" ht="18" customHeight="1">
      <c r="A216" s="6" t="inlineStr"/>
      <c r="B216" s="6" t="inlineStr"/>
      <c r="C216" s="7" t="inlineStr"/>
      <c r="D216" s="6">
        <f>IF($C216="","",ROUND(INDEX(AllDurs,MATCH($C216,AllNames,0))/60,1))</f>
        <v/>
      </c>
      <c r="E216" s="6" t="inlineStr"/>
      <c r="F216" s="8" t="n"/>
    </row>
    <row r="217" ht="18" customHeight="1">
      <c r="A217" s="6" t="inlineStr"/>
      <c r="B217" s="6" t="inlineStr"/>
      <c r="C217" s="7" t="inlineStr"/>
      <c r="D217" s="6">
        <f>IF($C217="","",ROUND(INDEX(AllDurs,MATCH($C217,AllNames,0))/60,1))</f>
        <v/>
      </c>
      <c r="E217" s="6" t="inlineStr"/>
      <c r="F217" s="8" t="n"/>
    </row>
    <row r="218" ht="18" customHeight="1">
      <c r="A218" s="6" t="inlineStr"/>
      <c r="B218" s="6" t="inlineStr"/>
      <c r="C218" s="7" t="inlineStr"/>
      <c r="D218" s="6" t="inlineStr"/>
      <c r="E218" s="6" t="inlineStr"/>
      <c r="F218" s="8" t="n"/>
    </row>
    <row r="219" ht="20" customHeight="1">
      <c r="A219" s="8" t="n"/>
      <c r="B219" s="9" t="inlineStr">
        <is>
          <t>当日已看时长</t>
        </is>
      </c>
      <c r="C219" s="13" t="n"/>
      <c r="D219" s="14">
        <f>SUMIF($A$209:$A$218,1,$D$209:$D$218)</f>
        <v/>
      </c>
      <c r="E219" s="10" t="n"/>
      <c r="F219" s="10" t="n"/>
    </row>
    <row r="220" ht="22" customHeight="1">
      <c r="A220" s="4" t="n"/>
      <c r="B220" s="5" t="inlineStr">
        <is>
          <t>第19天</t>
        </is>
      </c>
      <c r="C220" s="13" t="n"/>
      <c r="D220" s="4">
        <f>IF($C220="","",ROUND(INDEX(AllDurs,MATCH($C220,AllNames,0))/60,1))</f>
        <v/>
      </c>
      <c r="E220" s="4" t="n"/>
    </row>
    <row r="221" ht="18" customHeight="1">
      <c r="A221" s="6" t="inlineStr"/>
      <c r="B221" s="6" t="inlineStr"/>
      <c r="C221" s="7" t="inlineStr"/>
      <c r="D221" s="6">
        <f>IF($C221="","",ROUND(INDEX(AllDurs,MATCH($C221,AllNames,0))/60,1))</f>
        <v/>
      </c>
      <c r="E221" s="6" t="inlineStr"/>
      <c r="F221" s="8" t="n"/>
    </row>
    <row r="222" ht="18" customHeight="1">
      <c r="A222" s="6" t="inlineStr"/>
      <c r="B222" s="6" t="inlineStr"/>
      <c r="C222" s="7" t="inlineStr"/>
      <c r="D222" s="6">
        <f>IF($C222="","",ROUND(INDEX(AllDurs,MATCH($C222,AllNames,0))/60,1))</f>
        <v/>
      </c>
      <c r="E222" s="6" t="inlineStr"/>
      <c r="F222" s="8" t="n"/>
    </row>
    <row r="223" ht="18" customHeight="1">
      <c r="A223" s="6" t="inlineStr"/>
      <c r="B223" s="6" t="inlineStr"/>
      <c r="C223" s="7" t="inlineStr"/>
      <c r="D223" s="6">
        <f>IF($C223="","",ROUND(INDEX(AllDurs,MATCH($C223,AllNames,0))/60,1))</f>
        <v/>
      </c>
      <c r="E223" s="6" t="inlineStr"/>
      <c r="F223" s="8" t="n"/>
    </row>
    <row r="224" ht="18" customHeight="1">
      <c r="A224" s="6" t="inlineStr"/>
      <c r="B224" s="6" t="inlineStr"/>
      <c r="C224" s="7" t="inlineStr"/>
      <c r="D224" s="6">
        <f>IF($C224="","",ROUND(INDEX(AllDurs,MATCH($C224,AllNames,0))/60,1))</f>
        <v/>
      </c>
      <c r="E224" s="6" t="inlineStr"/>
      <c r="F224" s="8" t="n"/>
    </row>
    <row r="225" ht="18" customHeight="1">
      <c r="A225" s="6" t="inlineStr"/>
      <c r="B225" s="6" t="inlineStr"/>
      <c r="C225" s="7" t="inlineStr"/>
      <c r="D225" s="6">
        <f>IF($C225="","",ROUND(INDEX(AllDurs,MATCH($C225,AllNames,0))/60,1))</f>
        <v/>
      </c>
      <c r="E225" s="6" t="inlineStr"/>
      <c r="F225" s="8" t="n"/>
    </row>
    <row r="226" ht="18" customHeight="1">
      <c r="A226" s="6" t="inlineStr"/>
      <c r="B226" s="6" t="inlineStr"/>
      <c r="C226" s="7" t="inlineStr"/>
      <c r="D226" s="6">
        <f>IF($C226="","",ROUND(INDEX(AllDurs,MATCH($C226,AllNames,0))/60,1))</f>
        <v/>
      </c>
      <c r="E226" s="6" t="inlineStr"/>
      <c r="F226" s="8" t="n"/>
    </row>
    <row r="227" ht="18" customHeight="1">
      <c r="A227" s="6" t="inlineStr"/>
      <c r="B227" s="6" t="inlineStr"/>
      <c r="C227" s="7" t="inlineStr"/>
      <c r="D227" s="6">
        <f>IF($C227="","",ROUND(INDEX(AllDurs,MATCH($C227,AllNames,0))/60,1))</f>
        <v/>
      </c>
      <c r="E227" s="6" t="inlineStr"/>
      <c r="F227" s="8" t="n"/>
    </row>
    <row r="228" ht="18" customHeight="1">
      <c r="A228" s="6" t="inlineStr"/>
      <c r="B228" s="6" t="inlineStr"/>
      <c r="C228" s="7" t="inlineStr"/>
      <c r="D228" s="6">
        <f>IF($C228="","",ROUND(INDEX(AllDurs,MATCH($C228,AllNames,0))/60,1))</f>
        <v/>
      </c>
      <c r="E228" s="6" t="inlineStr"/>
      <c r="F228" s="8" t="n"/>
    </row>
    <row r="229" ht="18" customHeight="1">
      <c r="A229" s="6" t="inlineStr"/>
      <c r="B229" s="6" t="inlineStr"/>
      <c r="C229" s="7" t="inlineStr"/>
      <c r="D229" s="6">
        <f>IF($C229="","",ROUND(INDEX(AllDurs,MATCH($C229,AllNames,0))/60,1))</f>
        <v/>
      </c>
      <c r="E229" s="6" t="inlineStr"/>
      <c r="F229" s="8" t="n"/>
    </row>
    <row r="230" ht="18" customHeight="1">
      <c r="A230" s="6" t="inlineStr"/>
      <c r="B230" s="6" t="inlineStr"/>
      <c r="C230" s="7" t="inlineStr"/>
      <c r="D230" s="6" t="inlineStr"/>
      <c r="E230" s="6" t="inlineStr"/>
      <c r="F230" s="8" t="n"/>
    </row>
    <row r="231" ht="20" customHeight="1">
      <c r="A231" s="8" t="n"/>
      <c r="B231" s="9" t="inlineStr">
        <is>
          <t>当日已看时长</t>
        </is>
      </c>
      <c r="C231" s="13" t="n"/>
      <c r="D231" s="14">
        <f>SUMIF($A$221:$A$230,1,$D$221:$D$230)</f>
        <v/>
      </c>
      <c r="E231" s="10" t="n"/>
      <c r="F231" s="10" t="n"/>
    </row>
    <row r="232" ht="22" customHeight="1">
      <c r="A232" s="4" t="n"/>
      <c r="B232" s="5" t="inlineStr">
        <is>
          <t>第20天</t>
        </is>
      </c>
      <c r="C232" s="13" t="n"/>
      <c r="D232" s="4">
        <f>IF($C232="","",ROUND(INDEX(AllDurs,MATCH($C232,AllNames,0))/60,1))</f>
        <v/>
      </c>
      <c r="E232" s="4" t="n"/>
    </row>
    <row r="233" ht="18" customHeight="1">
      <c r="A233" s="6" t="inlineStr"/>
      <c r="B233" s="6" t="inlineStr"/>
      <c r="C233" s="7" t="inlineStr"/>
      <c r="D233" s="6">
        <f>IF($C233="","",ROUND(INDEX(AllDurs,MATCH($C233,AllNames,0))/60,1))</f>
        <v/>
      </c>
      <c r="E233" s="6" t="inlineStr"/>
      <c r="F233" s="8" t="n"/>
    </row>
    <row r="234" ht="18" customHeight="1">
      <c r="A234" s="6" t="inlineStr"/>
      <c r="B234" s="6" t="inlineStr"/>
      <c r="C234" s="7" t="inlineStr"/>
      <c r="D234" s="6">
        <f>IF($C234="","",ROUND(INDEX(AllDurs,MATCH($C234,AllNames,0))/60,1))</f>
        <v/>
      </c>
      <c r="E234" s="6" t="inlineStr"/>
      <c r="F234" s="8" t="n"/>
    </row>
    <row r="235" ht="18" customHeight="1">
      <c r="A235" s="6" t="inlineStr"/>
      <c r="B235" s="6" t="inlineStr"/>
      <c r="C235" s="7" t="inlineStr"/>
      <c r="D235" s="6">
        <f>IF($C235="","",ROUND(INDEX(AllDurs,MATCH($C235,AllNames,0))/60,1))</f>
        <v/>
      </c>
      <c r="E235" s="6" t="inlineStr"/>
      <c r="F235" s="8" t="n"/>
    </row>
    <row r="236" ht="18" customHeight="1">
      <c r="A236" s="6" t="inlineStr"/>
      <c r="B236" s="6" t="inlineStr"/>
      <c r="C236" s="7" t="inlineStr"/>
      <c r="D236" s="6">
        <f>IF($C236="","",ROUND(INDEX(AllDurs,MATCH($C236,AllNames,0))/60,1))</f>
        <v/>
      </c>
      <c r="E236" s="6" t="inlineStr"/>
      <c r="F236" s="8" t="n"/>
    </row>
    <row r="237" ht="18" customHeight="1">
      <c r="A237" s="6" t="inlineStr"/>
      <c r="B237" s="6" t="inlineStr"/>
      <c r="C237" s="7" t="inlineStr"/>
      <c r="D237" s="6">
        <f>IF($C237="","",ROUND(INDEX(AllDurs,MATCH($C237,AllNames,0))/60,1))</f>
        <v/>
      </c>
      <c r="E237" s="6" t="inlineStr"/>
      <c r="F237" s="8" t="n"/>
    </row>
    <row r="238" ht="18" customHeight="1">
      <c r="A238" s="6" t="inlineStr"/>
      <c r="B238" s="6" t="inlineStr"/>
      <c r="C238" s="7" t="inlineStr"/>
      <c r="D238" s="6">
        <f>IF($C238="","",ROUND(INDEX(AllDurs,MATCH($C238,AllNames,0))/60,1))</f>
        <v/>
      </c>
      <c r="E238" s="6" t="inlineStr"/>
      <c r="F238" s="8" t="n"/>
    </row>
    <row r="239" ht="18" customHeight="1">
      <c r="A239" s="6" t="inlineStr"/>
      <c r="B239" s="6" t="inlineStr"/>
      <c r="C239" s="7" t="inlineStr"/>
      <c r="D239" s="6">
        <f>IF($C239="","",ROUND(INDEX(AllDurs,MATCH($C239,AllNames,0))/60,1))</f>
        <v/>
      </c>
      <c r="E239" s="6" t="inlineStr"/>
      <c r="F239" s="8" t="n"/>
    </row>
    <row r="240" ht="18" customHeight="1">
      <c r="A240" s="6" t="inlineStr"/>
      <c r="B240" s="6" t="inlineStr"/>
      <c r="C240" s="7" t="inlineStr"/>
      <c r="D240" s="6">
        <f>IF($C240="","",ROUND(INDEX(AllDurs,MATCH($C240,AllNames,0))/60,1))</f>
        <v/>
      </c>
      <c r="E240" s="6" t="inlineStr"/>
      <c r="F240" s="8" t="n"/>
    </row>
    <row r="241" ht="18" customHeight="1">
      <c r="A241" s="6" t="inlineStr"/>
      <c r="B241" s="6" t="inlineStr"/>
      <c r="C241" s="7" t="inlineStr"/>
      <c r="D241" s="6">
        <f>IF($C241="","",ROUND(INDEX(AllDurs,MATCH($C241,AllNames,0))/60,1))</f>
        <v/>
      </c>
      <c r="E241" s="6" t="inlineStr"/>
      <c r="F241" s="8" t="n"/>
    </row>
    <row r="242" ht="18" customHeight="1">
      <c r="A242" s="6" t="inlineStr"/>
      <c r="B242" s="6" t="inlineStr"/>
      <c r="C242" s="7" t="inlineStr"/>
      <c r="D242" s="6" t="inlineStr"/>
      <c r="E242" s="6" t="inlineStr"/>
      <c r="F242" s="8" t="n"/>
    </row>
    <row r="243" ht="20" customHeight="1">
      <c r="A243" s="8" t="n"/>
      <c r="B243" s="9" t="inlineStr">
        <is>
          <t>当日已看时长</t>
        </is>
      </c>
      <c r="C243" s="13" t="n"/>
      <c r="D243" s="14">
        <f>SUMIF($A$233:$A$242,1,$D$233:$D$242)</f>
        <v/>
      </c>
      <c r="E243" s="10" t="n"/>
      <c r="F243" s="10" t="n"/>
    </row>
    <row r="244" ht="22" customHeight="1">
      <c r="A244" s="4" t="n"/>
      <c r="B244" s="5" t="inlineStr">
        <is>
          <t>第21天</t>
        </is>
      </c>
      <c r="C244" s="13" t="n"/>
      <c r="D244" s="4">
        <f>IF($C244="","",ROUND(INDEX(AllDurs,MATCH($C244,AllNames,0))/60,1))</f>
        <v/>
      </c>
      <c r="E244" s="4" t="n"/>
    </row>
    <row r="245" ht="18" customHeight="1">
      <c r="A245" s="6" t="inlineStr"/>
      <c r="B245" s="6" t="inlineStr"/>
      <c r="C245" s="7" t="inlineStr"/>
      <c r="D245" s="6">
        <f>IF($C245="","",ROUND(INDEX(AllDurs,MATCH($C245,AllNames,0))/60,1))</f>
        <v/>
      </c>
      <c r="E245" s="6" t="inlineStr"/>
      <c r="F245" s="8" t="n"/>
    </row>
    <row r="246" ht="18" customHeight="1">
      <c r="A246" s="6" t="inlineStr"/>
      <c r="B246" s="6" t="inlineStr"/>
      <c r="C246" s="7" t="inlineStr"/>
      <c r="D246" s="6">
        <f>IF($C246="","",ROUND(INDEX(AllDurs,MATCH($C246,AllNames,0))/60,1))</f>
        <v/>
      </c>
      <c r="E246" s="6" t="inlineStr"/>
      <c r="F246" s="8" t="n"/>
    </row>
    <row r="247" ht="18" customHeight="1">
      <c r="A247" s="6" t="inlineStr"/>
      <c r="B247" s="6" t="inlineStr"/>
      <c r="C247" s="7" t="inlineStr"/>
      <c r="D247" s="6">
        <f>IF($C247="","",ROUND(INDEX(AllDurs,MATCH($C247,AllNames,0))/60,1))</f>
        <v/>
      </c>
      <c r="E247" s="6" t="inlineStr"/>
      <c r="F247" s="8" t="n"/>
    </row>
    <row r="248" ht="18" customHeight="1">
      <c r="A248" s="6" t="inlineStr"/>
      <c r="B248" s="6" t="inlineStr"/>
      <c r="C248" s="7" t="inlineStr"/>
      <c r="D248" s="6">
        <f>IF($C248="","",ROUND(INDEX(AllDurs,MATCH($C248,AllNames,0))/60,1))</f>
        <v/>
      </c>
      <c r="E248" s="6" t="inlineStr"/>
      <c r="F248" s="8" t="n"/>
    </row>
    <row r="249" ht="18" customHeight="1">
      <c r="A249" s="6" t="inlineStr"/>
      <c r="B249" s="6" t="inlineStr"/>
      <c r="C249" s="7" t="inlineStr"/>
      <c r="D249" s="6">
        <f>IF($C249="","",ROUND(INDEX(AllDurs,MATCH($C249,AllNames,0))/60,1))</f>
        <v/>
      </c>
      <c r="E249" s="6" t="inlineStr"/>
      <c r="F249" s="8" t="n"/>
    </row>
    <row r="250" ht="18" customHeight="1">
      <c r="A250" s="6" t="inlineStr"/>
      <c r="B250" s="6" t="inlineStr"/>
      <c r="C250" s="7" t="inlineStr"/>
      <c r="D250" s="6">
        <f>IF($C250="","",ROUND(INDEX(AllDurs,MATCH($C250,AllNames,0))/60,1))</f>
        <v/>
      </c>
      <c r="E250" s="6" t="inlineStr"/>
      <c r="F250" s="8" t="n"/>
    </row>
    <row r="251" ht="18" customHeight="1">
      <c r="A251" s="6" t="inlineStr"/>
      <c r="B251" s="6" t="inlineStr"/>
      <c r="C251" s="7" t="inlineStr"/>
      <c r="D251" s="6">
        <f>IF($C251="","",ROUND(INDEX(AllDurs,MATCH($C251,AllNames,0))/60,1))</f>
        <v/>
      </c>
      <c r="E251" s="6" t="inlineStr"/>
      <c r="F251" s="8" t="n"/>
    </row>
    <row r="252" ht="18" customHeight="1">
      <c r="A252" s="6" t="inlineStr"/>
      <c r="B252" s="6" t="inlineStr"/>
      <c r="C252" s="7" t="inlineStr"/>
      <c r="D252" s="6">
        <f>IF($C252="","",ROUND(INDEX(AllDurs,MATCH($C252,AllNames,0))/60,1))</f>
        <v/>
      </c>
      <c r="E252" s="6" t="inlineStr"/>
      <c r="F252" s="8" t="n"/>
    </row>
    <row r="253" ht="18" customHeight="1">
      <c r="A253" s="6" t="inlineStr"/>
      <c r="B253" s="6" t="inlineStr"/>
      <c r="C253" s="7" t="inlineStr"/>
      <c r="D253" s="6">
        <f>IF($C253="","",ROUND(INDEX(AllDurs,MATCH($C253,AllNames,0))/60,1))</f>
        <v/>
      </c>
      <c r="E253" s="6" t="inlineStr"/>
      <c r="F253" s="8" t="n"/>
    </row>
    <row r="254" ht="18" customHeight="1">
      <c r="A254" s="6" t="inlineStr"/>
      <c r="B254" s="6" t="inlineStr"/>
      <c r="C254" s="7" t="inlineStr"/>
      <c r="D254" s="6" t="inlineStr"/>
      <c r="E254" s="6" t="inlineStr"/>
      <c r="F254" s="8" t="n"/>
    </row>
    <row r="255" ht="20" customHeight="1">
      <c r="A255" s="8" t="n"/>
      <c r="B255" s="9" t="inlineStr">
        <is>
          <t>当日已看时长</t>
        </is>
      </c>
      <c r="C255" s="13" t="n"/>
      <c r="D255" s="14">
        <f>SUMIF($A$245:$A$254,1,$D$245:$D$254)</f>
        <v/>
      </c>
      <c r="E255" s="10" t="n"/>
      <c r="F255" s="10" t="n"/>
    </row>
    <row r="256" ht="22" customHeight="1">
      <c r="A256" s="4" t="n"/>
      <c r="B256" s="5" t="inlineStr">
        <is>
          <t>第22天</t>
        </is>
      </c>
      <c r="C256" s="13" t="n"/>
      <c r="D256" s="4">
        <f>IF($C256="","",ROUND(INDEX(AllDurs,MATCH($C256,AllNames,0))/60,1))</f>
        <v/>
      </c>
      <c r="E256" s="4" t="n"/>
    </row>
    <row r="257" ht="18" customHeight="1">
      <c r="A257" s="6" t="inlineStr"/>
      <c r="B257" s="6" t="inlineStr"/>
      <c r="C257" s="7" t="inlineStr"/>
      <c r="D257" s="6">
        <f>IF($C257="","",ROUND(INDEX(AllDurs,MATCH($C257,AllNames,0))/60,1))</f>
        <v/>
      </c>
      <c r="E257" s="6" t="inlineStr"/>
      <c r="F257" s="8" t="n"/>
    </row>
    <row r="258" ht="18" customHeight="1">
      <c r="A258" s="6" t="inlineStr"/>
      <c r="B258" s="6" t="inlineStr"/>
      <c r="C258" s="7" t="inlineStr"/>
      <c r="D258" s="6">
        <f>IF($C258="","",ROUND(INDEX(AllDurs,MATCH($C258,AllNames,0))/60,1))</f>
        <v/>
      </c>
      <c r="E258" s="6" t="inlineStr"/>
      <c r="F258" s="8" t="n"/>
    </row>
    <row r="259" ht="18" customHeight="1">
      <c r="A259" s="6" t="inlineStr"/>
      <c r="B259" s="6" t="inlineStr"/>
      <c r="C259" s="7" t="inlineStr"/>
      <c r="D259" s="6">
        <f>IF($C259="","",ROUND(INDEX(AllDurs,MATCH($C259,AllNames,0))/60,1))</f>
        <v/>
      </c>
      <c r="E259" s="6" t="inlineStr"/>
      <c r="F259" s="8" t="n"/>
    </row>
    <row r="260" ht="18" customHeight="1">
      <c r="A260" s="6" t="inlineStr"/>
      <c r="B260" s="6" t="inlineStr"/>
      <c r="C260" s="7" t="inlineStr"/>
      <c r="D260" s="6">
        <f>IF($C260="","",ROUND(INDEX(AllDurs,MATCH($C260,AllNames,0))/60,1))</f>
        <v/>
      </c>
      <c r="E260" s="6" t="inlineStr"/>
      <c r="F260" s="8" t="n"/>
    </row>
    <row r="261" ht="18" customHeight="1">
      <c r="A261" s="6" t="inlineStr"/>
      <c r="B261" s="6" t="inlineStr"/>
      <c r="C261" s="7" t="inlineStr"/>
      <c r="D261" s="6">
        <f>IF($C261="","",ROUND(INDEX(AllDurs,MATCH($C261,AllNames,0))/60,1))</f>
        <v/>
      </c>
      <c r="E261" s="6" t="inlineStr"/>
      <c r="F261" s="8" t="n"/>
    </row>
    <row r="262" ht="18" customHeight="1">
      <c r="A262" s="6" t="inlineStr"/>
      <c r="B262" s="6" t="inlineStr"/>
      <c r="C262" s="7" t="inlineStr"/>
      <c r="D262" s="6">
        <f>IF($C262="","",ROUND(INDEX(AllDurs,MATCH($C262,AllNames,0))/60,1))</f>
        <v/>
      </c>
      <c r="E262" s="6" t="inlineStr"/>
      <c r="F262" s="8" t="n"/>
    </row>
    <row r="263" ht="18" customHeight="1">
      <c r="A263" s="6" t="inlineStr"/>
      <c r="B263" s="6" t="inlineStr"/>
      <c r="C263" s="7" t="inlineStr"/>
      <c r="D263" s="6">
        <f>IF($C263="","",ROUND(INDEX(AllDurs,MATCH($C263,AllNames,0))/60,1))</f>
        <v/>
      </c>
      <c r="E263" s="6" t="inlineStr"/>
      <c r="F263" s="8" t="n"/>
    </row>
    <row r="264" ht="18" customHeight="1">
      <c r="A264" s="6" t="inlineStr"/>
      <c r="B264" s="6" t="inlineStr"/>
      <c r="C264" s="7" t="inlineStr"/>
      <c r="D264" s="6">
        <f>IF($C264="","",ROUND(INDEX(AllDurs,MATCH($C264,AllNames,0))/60,1))</f>
        <v/>
      </c>
      <c r="E264" s="6" t="inlineStr"/>
      <c r="F264" s="8" t="n"/>
    </row>
    <row r="265" ht="18" customHeight="1">
      <c r="A265" s="6" t="inlineStr"/>
      <c r="B265" s="6" t="inlineStr"/>
      <c r="C265" s="7" t="inlineStr"/>
      <c r="D265" s="6">
        <f>IF($C265="","",ROUND(INDEX(AllDurs,MATCH($C265,AllNames,0))/60,1))</f>
        <v/>
      </c>
      <c r="E265" s="6" t="inlineStr"/>
      <c r="F265" s="8" t="n"/>
    </row>
    <row r="266" ht="18" customHeight="1">
      <c r="A266" s="6" t="inlineStr"/>
      <c r="B266" s="6" t="inlineStr"/>
      <c r="C266" s="7" t="inlineStr"/>
      <c r="D266" s="6" t="inlineStr"/>
      <c r="E266" s="6" t="inlineStr"/>
      <c r="F266" s="8" t="n"/>
    </row>
    <row r="267" ht="20" customHeight="1">
      <c r="A267" s="8" t="n"/>
      <c r="B267" s="9" t="inlineStr">
        <is>
          <t>当日已看时长</t>
        </is>
      </c>
      <c r="C267" s="13" t="n"/>
      <c r="D267" s="14">
        <f>SUMIF($A$257:$A$266,1,$D$257:$D$266)</f>
        <v/>
      </c>
      <c r="E267" s="10" t="n"/>
      <c r="F267" s="10" t="n"/>
    </row>
    <row r="268" ht="22" customHeight="1">
      <c r="A268" s="4" t="n"/>
      <c r="B268" s="5" t="inlineStr">
        <is>
          <t>第23天</t>
        </is>
      </c>
      <c r="C268" s="13" t="n"/>
      <c r="D268" s="4">
        <f>IF($C268="","",ROUND(INDEX(AllDurs,MATCH($C268,AllNames,0))/60,1))</f>
        <v/>
      </c>
      <c r="E268" s="4" t="n"/>
    </row>
    <row r="269" ht="18" customHeight="1">
      <c r="A269" s="6" t="inlineStr"/>
      <c r="B269" s="6" t="inlineStr"/>
      <c r="C269" s="7" t="inlineStr"/>
      <c r="D269" s="6">
        <f>IF($C269="","",ROUND(INDEX(AllDurs,MATCH($C269,AllNames,0))/60,1))</f>
        <v/>
      </c>
      <c r="E269" s="6" t="inlineStr"/>
      <c r="F269" s="8" t="n"/>
    </row>
    <row r="270" ht="18" customHeight="1">
      <c r="A270" s="6" t="inlineStr"/>
      <c r="B270" s="6" t="inlineStr"/>
      <c r="C270" s="7" t="inlineStr"/>
      <c r="D270" s="6">
        <f>IF($C270="","",ROUND(INDEX(AllDurs,MATCH($C270,AllNames,0))/60,1))</f>
        <v/>
      </c>
      <c r="E270" s="6" t="inlineStr"/>
      <c r="F270" s="8" t="n"/>
    </row>
    <row r="271" ht="18" customHeight="1">
      <c r="A271" s="6" t="inlineStr"/>
      <c r="B271" s="6" t="inlineStr"/>
      <c r="C271" s="7" t="inlineStr"/>
      <c r="D271" s="6">
        <f>IF($C271="","",ROUND(INDEX(AllDurs,MATCH($C271,AllNames,0))/60,1))</f>
        <v/>
      </c>
      <c r="E271" s="6" t="inlineStr"/>
      <c r="F271" s="8" t="n"/>
    </row>
    <row r="272" ht="18" customHeight="1">
      <c r="A272" s="6" t="inlineStr"/>
      <c r="B272" s="6" t="inlineStr"/>
      <c r="C272" s="7" t="inlineStr"/>
      <c r="D272" s="6">
        <f>IF($C272="","",ROUND(INDEX(AllDurs,MATCH($C272,AllNames,0))/60,1))</f>
        <v/>
      </c>
      <c r="E272" s="6" t="inlineStr"/>
      <c r="F272" s="8" t="n"/>
    </row>
    <row r="273" ht="18" customHeight="1">
      <c r="A273" s="6" t="inlineStr"/>
      <c r="B273" s="6" t="inlineStr"/>
      <c r="C273" s="7" t="inlineStr"/>
      <c r="D273" s="6">
        <f>IF($C273="","",ROUND(INDEX(AllDurs,MATCH($C273,AllNames,0))/60,1))</f>
        <v/>
      </c>
      <c r="E273" s="6" t="inlineStr"/>
      <c r="F273" s="8" t="n"/>
    </row>
    <row r="274" ht="18" customHeight="1">
      <c r="A274" s="6" t="inlineStr"/>
      <c r="B274" s="6" t="inlineStr"/>
      <c r="C274" s="7" t="inlineStr"/>
      <c r="D274" s="6">
        <f>IF($C274="","",ROUND(INDEX(AllDurs,MATCH($C274,AllNames,0))/60,1))</f>
        <v/>
      </c>
      <c r="E274" s="6" t="inlineStr"/>
      <c r="F274" s="8" t="n"/>
    </row>
    <row r="275" ht="18" customHeight="1">
      <c r="A275" s="6" t="inlineStr"/>
      <c r="B275" s="6" t="inlineStr"/>
      <c r="C275" s="7" t="inlineStr"/>
      <c r="D275" s="6">
        <f>IF($C275="","",ROUND(INDEX(AllDurs,MATCH($C275,AllNames,0))/60,1))</f>
        <v/>
      </c>
      <c r="E275" s="6" t="inlineStr"/>
      <c r="F275" s="8" t="n"/>
    </row>
    <row r="276" ht="18" customHeight="1">
      <c r="A276" s="6" t="inlineStr"/>
      <c r="B276" s="6" t="inlineStr"/>
      <c r="C276" s="7" t="inlineStr"/>
      <c r="D276" s="6">
        <f>IF($C276="","",ROUND(INDEX(AllDurs,MATCH($C276,AllNames,0))/60,1))</f>
        <v/>
      </c>
      <c r="E276" s="6" t="inlineStr"/>
      <c r="F276" s="8" t="n"/>
    </row>
    <row r="277" ht="18" customHeight="1">
      <c r="A277" s="6" t="inlineStr"/>
      <c r="B277" s="6" t="inlineStr"/>
      <c r="C277" s="7" t="inlineStr"/>
      <c r="D277" s="6">
        <f>IF($C277="","",ROUND(INDEX(AllDurs,MATCH($C277,AllNames,0))/60,1))</f>
        <v/>
      </c>
      <c r="E277" s="6" t="inlineStr"/>
      <c r="F277" s="8" t="n"/>
    </row>
    <row r="278" ht="18" customHeight="1">
      <c r="A278" s="6" t="inlineStr"/>
      <c r="B278" s="6" t="inlineStr"/>
      <c r="C278" s="7" t="inlineStr"/>
      <c r="D278" s="6" t="inlineStr"/>
      <c r="E278" s="6" t="inlineStr"/>
      <c r="F278" s="8" t="n"/>
    </row>
    <row r="279" ht="20" customHeight="1">
      <c r="A279" s="8" t="n"/>
      <c r="B279" s="9" t="inlineStr">
        <is>
          <t>当日已看时长</t>
        </is>
      </c>
      <c r="C279" s="13" t="n"/>
      <c r="D279" s="14">
        <f>SUMIF($A$269:$A$278,1,$D$269:$D$278)</f>
        <v/>
      </c>
      <c r="E279" s="10" t="n"/>
      <c r="F279" s="10" t="n"/>
    </row>
    <row r="280" ht="22" customHeight="1">
      <c r="A280" s="4" t="n"/>
      <c r="B280" s="5" t="inlineStr">
        <is>
          <t>第24天</t>
        </is>
      </c>
      <c r="C280" s="13" t="n"/>
      <c r="D280" s="4">
        <f>IF($C280="","",ROUND(INDEX(AllDurs,MATCH($C280,AllNames,0))/60,1))</f>
        <v/>
      </c>
      <c r="E280" s="4" t="n"/>
    </row>
    <row r="281" ht="18" customHeight="1">
      <c r="A281" s="6" t="inlineStr"/>
      <c r="B281" s="6" t="inlineStr"/>
      <c r="C281" s="7" t="inlineStr"/>
      <c r="D281" s="6">
        <f>IF($C281="","",ROUND(INDEX(AllDurs,MATCH($C281,AllNames,0))/60,1))</f>
        <v/>
      </c>
      <c r="E281" s="6" t="inlineStr"/>
      <c r="F281" s="8" t="n"/>
    </row>
    <row r="282" ht="18" customHeight="1">
      <c r="A282" s="6" t="inlineStr"/>
      <c r="B282" s="6" t="inlineStr"/>
      <c r="C282" s="7" t="inlineStr"/>
      <c r="D282" s="6">
        <f>IF($C282="","",ROUND(INDEX(AllDurs,MATCH($C282,AllNames,0))/60,1))</f>
        <v/>
      </c>
      <c r="E282" s="6" t="inlineStr"/>
      <c r="F282" s="8" t="n"/>
    </row>
    <row r="283" ht="18" customHeight="1">
      <c r="A283" s="6" t="inlineStr"/>
      <c r="B283" s="6" t="inlineStr"/>
      <c r="C283" s="7" t="inlineStr"/>
      <c r="D283" s="6">
        <f>IF($C283="","",ROUND(INDEX(AllDurs,MATCH($C283,AllNames,0))/60,1))</f>
        <v/>
      </c>
      <c r="E283" s="6" t="inlineStr"/>
      <c r="F283" s="8" t="n"/>
    </row>
    <row r="284" ht="18" customHeight="1">
      <c r="A284" s="6" t="inlineStr"/>
      <c r="B284" s="6" t="inlineStr"/>
      <c r="C284" s="7" t="inlineStr"/>
      <c r="D284" s="6">
        <f>IF($C284="","",ROUND(INDEX(AllDurs,MATCH($C284,AllNames,0))/60,1))</f>
        <v/>
      </c>
      <c r="E284" s="6" t="inlineStr"/>
      <c r="F284" s="8" t="n"/>
    </row>
    <row r="285" ht="18" customHeight="1">
      <c r="A285" s="6" t="inlineStr"/>
      <c r="B285" s="6" t="inlineStr"/>
      <c r="C285" s="7" t="inlineStr"/>
      <c r="D285" s="6">
        <f>IF($C285="","",ROUND(INDEX(AllDurs,MATCH($C285,AllNames,0))/60,1))</f>
        <v/>
      </c>
      <c r="E285" s="6" t="inlineStr"/>
      <c r="F285" s="8" t="n"/>
    </row>
    <row r="286" ht="18" customHeight="1">
      <c r="A286" s="6" t="inlineStr"/>
      <c r="B286" s="6" t="inlineStr"/>
      <c r="C286" s="7" t="inlineStr"/>
      <c r="D286" s="6">
        <f>IF($C286="","",ROUND(INDEX(AllDurs,MATCH($C286,AllNames,0))/60,1))</f>
        <v/>
      </c>
      <c r="E286" s="6" t="inlineStr"/>
      <c r="F286" s="8" t="n"/>
    </row>
    <row r="287" ht="18" customHeight="1">
      <c r="A287" s="6" t="inlineStr"/>
      <c r="B287" s="6" t="inlineStr"/>
      <c r="C287" s="7" t="inlineStr"/>
      <c r="D287" s="6">
        <f>IF($C287="","",ROUND(INDEX(AllDurs,MATCH($C287,AllNames,0))/60,1))</f>
        <v/>
      </c>
      <c r="E287" s="6" t="inlineStr"/>
      <c r="F287" s="8" t="n"/>
    </row>
    <row r="288" ht="18" customHeight="1">
      <c r="A288" s="6" t="inlineStr"/>
      <c r="B288" s="6" t="inlineStr"/>
      <c r="C288" s="7" t="inlineStr"/>
      <c r="D288" s="6">
        <f>IF($C288="","",ROUND(INDEX(AllDurs,MATCH($C288,AllNames,0))/60,1))</f>
        <v/>
      </c>
      <c r="E288" s="6" t="inlineStr"/>
      <c r="F288" s="8" t="n"/>
    </row>
    <row r="289" ht="18" customHeight="1">
      <c r="A289" s="6" t="inlineStr"/>
      <c r="B289" s="6" t="inlineStr"/>
      <c r="C289" s="7" t="inlineStr"/>
      <c r="D289" s="6">
        <f>IF($C289="","",ROUND(INDEX(AllDurs,MATCH($C289,AllNames,0))/60,1))</f>
        <v/>
      </c>
      <c r="E289" s="6" t="inlineStr"/>
      <c r="F289" s="8" t="n"/>
    </row>
    <row r="290" ht="18" customHeight="1">
      <c r="A290" s="6" t="inlineStr"/>
      <c r="B290" s="6" t="inlineStr"/>
      <c r="C290" s="7" t="inlineStr"/>
      <c r="D290" s="6" t="inlineStr"/>
      <c r="E290" s="6" t="inlineStr"/>
      <c r="F290" s="8" t="n"/>
    </row>
    <row r="291" ht="20" customHeight="1">
      <c r="A291" s="8" t="n"/>
      <c r="B291" s="9" t="inlineStr">
        <is>
          <t>当日已看时长</t>
        </is>
      </c>
      <c r="C291" s="13" t="n"/>
      <c r="D291" s="14">
        <f>SUMIF($A$281:$A$290,1,$D$281:$D$290)</f>
        <v/>
      </c>
      <c r="E291" s="10" t="n"/>
      <c r="F291" s="10" t="n"/>
    </row>
    <row r="292" ht="22" customHeight="1">
      <c r="A292" s="4" t="n"/>
      <c r="B292" s="5" t="inlineStr">
        <is>
          <t>第25天</t>
        </is>
      </c>
      <c r="C292" s="13" t="n"/>
      <c r="D292" s="4">
        <f>IF($C292="","",ROUND(INDEX(AllDurs,MATCH($C292,AllNames,0))/60,1))</f>
        <v/>
      </c>
      <c r="E292" s="4" t="n"/>
    </row>
    <row r="293" ht="18" customHeight="1">
      <c r="A293" s="6" t="inlineStr"/>
      <c r="B293" s="6" t="inlineStr"/>
      <c r="C293" s="7" t="inlineStr"/>
      <c r="D293" s="6">
        <f>IF($C293="","",ROUND(INDEX(AllDurs,MATCH($C293,AllNames,0))/60,1))</f>
        <v/>
      </c>
      <c r="E293" s="6" t="inlineStr"/>
      <c r="F293" s="8" t="n"/>
    </row>
    <row r="294" ht="18" customHeight="1">
      <c r="A294" s="6" t="inlineStr"/>
      <c r="B294" s="6" t="inlineStr"/>
      <c r="C294" s="7" t="inlineStr"/>
      <c r="D294" s="6">
        <f>IF($C294="","",ROUND(INDEX(AllDurs,MATCH($C294,AllNames,0))/60,1))</f>
        <v/>
      </c>
      <c r="E294" s="6" t="inlineStr"/>
      <c r="F294" s="8" t="n"/>
    </row>
    <row r="295" ht="18" customHeight="1">
      <c r="A295" s="6" t="inlineStr"/>
      <c r="B295" s="6" t="inlineStr"/>
      <c r="C295" s="7" t="inlineStr"/>
      <c r="D295" s="6">
        <f>IF($C295="","",ROUND(INDEX(AllDurs,MATCH($C295,AllNames,0))/60,1))</f>
        <v/>
      </c>
      <c r="E295" s="6" t="inlineStr"/>
      <c r="F295" s="8" t="n"/>
    </row>
    <row r="296" ht="18" customHeight="1">
      <c r="A296" s="6" t="inlineStr"/>
      <c r="B296" s="6" t="inlineStr"/>
      <c r="C296" s="7" t="inlineStr"/>
      <c r="D296" s="6">
        <f>IF($C296="","",ROUND(INDEX(AllDurs,MATCH($C296,AllNames,0))/60,1))</f>
        <v/>
      </c>
      <c r="E296" s="6" t="inlineStr"/>
      <c r="F296" s="8" t="n"/>
    </row>
    <row r="297" ht="18" customHeight="1">
      <c r="A297" s="6" t="inlineStr"/>
      <c r="B297" s="6" t="inlineStr"/>
      <c r="C297" s="7" t="inlineStr"/>
      <c r="D297" s="6">
        <f>IF($C297="","",ROUND(INDEX(AllDurs,MATCH($C297,AllNames,0))/60,1))</f>
        <v/>
      </c>
      <c r="E297" s="6" t="inlineStr"/>
      <c r="F297" s="8" t="n"/>
    </row>
    <row r="298" ht="18" customHeight="1">
      <c r="A298" s="6" t="inlineStr"/>
      <c r="B298" s="6" t="inlineStr"/>
      <c r="C298" s="7" t="inlineStr"/>
      <c r="D298" s="6">
        <f>IF($C298="","",ROUND(INDEX(AllDurs,MATCH($C298,AllNames,0))/60,1))</f>
        <v/>
      </c>
      <c r="E298" s="6" t="inlineStr"/>
      <c r="F298" s="8" t="n"/>
    </row>
    <row r="299" ht="18" customHeight="1">
      <c r="A299" s="6" t="inlineStr"/>
      <c r="B299" s="6" t="inlineStr"/>
      <c r="C299" s="7" t="inlineStr"/>
      <c r="D299" s="6">
        <f>IF($C299="","",ROUND(INDEX(AllDurs,MATCH($C299,AllNames,0))/60,1))</f>
        <v/>
      </c>
      <c r="E299" s="6" t="inlineStr"/>
      <c r="F299" s="8" t="n"/>
    </row>
    <row r="300" ht="18" customHeight="1">
      <c r="A300" s="6" t="inlineStr"/>
      <c r="B300" s="6" t="inlineStr"/>
      <c r="C300" s="7" t="inlineStr"/>
      <c r="D300" s="6">
        <f>IF($C300="","",ROUND(INDEX(AllDurs,MATCH($C300,AllNames,0))/60,1))</f>
        <v/>
      </c>
      <c r="E300" s="6" t="inlineStr"/>
      <c r="F300" s="8" t="n"/>
    </row>
    <row r="301" ht="18" customHeight="1">
      <c r="A301" s="6" t="inlineStr"/>
      <c r="B301" s="6" t="inlineStr"/>
      <c r="C301" s="7" t="inlineStr"/>
      <c r="D301" s="6">
        <f>IF($C301="","",ROUND(INDEX(AllDurs,MATCH($C301,AllNames,0))/60,1))</f>
        <v/>
      </c>
      <c r="E301" s="6" t="inlineStr"/>
      <c r="F301" s="8" t="n"/>
    </row>
    <row r="302" ht="18" customHeight="1">
      <c r="A302" s="6" t="inlineStr"/>
      <c r="B302" s="6" t="inlineStr"/>
      <c r="C302" s="7" t="inlineStr"/>
      <c r="D302" s="6" t="inlineStr"/>
      <c r="E302" s="6" t="inlineStr"/>
      <c r="F302" s="8" t="n"/>
    </row>
    <row r="303" ht="20" customHeight="1">
      <c r="A303" s="8" t="n"/>
      <c r="B303" s="9" t="inlineStr">
        <is>
          <t>当日已看时长</t>
        </is>
      </c>
      <c r="C303" s="13" t="n"/>
      <c r="D303" s="14">
        <f>SUMIF($A$293:$A$302,1,$D$293:$D$302)</f>
        <v/>
      </c>
      <c r="E303" s="10" t="n"/>
      <c r="F303" s="10" t="n"/>
    </row>
    <row r="304" ht="22" customHeight="1">
      <c r="A304" s="4" t="n"/>
      <c r="B304" s="5" t="inlineStr">
        <is>
          <t>第26天</t>
        </is>
      </c>
      <c r="C304" s="13" t="n"/>
      <c r="D304" s="4">
        <f>IF($C304="","",ROUND(INDEX(AllDurs,MATCH($C304,AllNames,0))/60,1))</f>
        <v/>
      </c>
      <c r="E304" s="4" t="n"/>
    </row>
    <row r="305" ht="18" customHeight="1">
      <c r="A305" s="6" t="inlineStr"/>
      <c r="B305" s="6" t="inlineStr"/>
      <c r="C305" s="7" t="inlineStr"/>
      <c r="D305" s="6">
        <f>IF($C305="","",ROUND(INDEX(AllDurs,MATCH($C305,AllNames,0))/60,1))</f>
        <v/>
      </c>
      <c r="E305" s="6" t="inlineStr"/>
      <c r="F305" s="8" t="n"/>
    </row>
    <row r="306" ht="18" customHeight="1">
      <c r="A306" s="6" t="inlineStr"/>
      <c r="B306" s="6" t="inlineStr"/>
      <c r="C306" s="7" t="inlineStr"/>
      <c r="D306" s="6">
        <f>IF($C306="","",ROUND(INDEX(AllDurs,MATCH($C306,AllNames,0))/60,1))</f>
        <v/>
      </c>
      <c r="E306" s="6" t="inlineStr"/>
      <c r="F306" s="8" t="n"/>
    </row>
    <row r="307" ht="18" customHeight="1">
      <c r="A307" s="6" t="inlineStr"/>
      <c r="B307" s="6" t="inlineStr"/>
      <c r="C307" s="7" t="inlineStr"/>
      <c r="D307" s="6">
        <f>IF($C307="","",ROUND(INDEX(AllDurs,MATCH($C307,AllNames,0))/60,1))</f>
        <v/>
      </c>
      <c r="E307" s="6" t="inlineStr"/>
      <c r="F307" s="8" t="n"/>
    </row>
    <row r="308" ht="18" customHeight="1">
      <c r="A308" s="6" t="inlineStr"/>
      <c r="B308" s="6" t="inlineStr"/>
      <c r="C308" s="7" t="inlineStr"/>
      <c r="D308" s="6">
        <f>IF($C308="","",ROUND(INDEX(AllDurs,MATCH($C308,AllNames,0))/60,1))</f>
        <v/>
      </c>
      <c r="E308" s="6" t="inlineStr"/>
      <c r="F308" s="8" t="n"/>
    </row>
    <row r="309" ht="18" customHeight="1">
      <c r="A309" s="6" t="inlineStr"/>
      <c r="B309" s="6" t="inlineStr"/>
      <c r="C309" s="7" t="inlineStr"/>
      <c r="D309" s="6">
        <f>IF($C309="","",ROUND(INDEX(AllDurs,MATCH($C309,AllNames,0))/60,1))</f>
        <v/>
      </c>
      <c r="E309" s="6" t="inlineStr"/>
      <c r="F309" s="8" t="n"/>
    </row>
    <row r="310" ht="18" customHeight="1">
      <c r="A310" s="6" t="inlineStr"/>
      <c r="B310" s="6" t="inlineStr"/>
      <c r="C310" s="7" t="inlineStr"/>
      <c r="D310" s="6">
        <f>IF($C310="","",ROUND(INDEX(AllDurs,MATCH($C310,AllNames,0))/60,1))</f>
        <v/>
      </c>
      <c r="E310" s="6" t="inlineStr"/>
      <c r="F310" s="8" t="n"/>
    </row>
    <row r="311" ht="18" customHeight="1">
      <c r="A311" s="6" t="inlineStr"/>
      <c r="B311" s="6" t="inlineStr"/>
      <c r="C311" s="7" t="inlineStr"/>
      <c r="D311" s="6">
        <f>IF($C311="","",ROUND(INDEX(AllDurs,MATCH($C311,AllNames,0))/60,1))</f>
        <v/>
      </c>
      <c r="E311" s="6" t="inlineStr"/>
      <c r="F311" s="8" t="n"/>
    </row>
    <row r="312" ht="18" customHeight="1">
      <c r="A312" s="6" t="inlineStr"/>
      <c r="B312" s="6" t="inlineStr"/>
      <c r="C312" s="7" t="inlineStr"/>
      <c r="D312" s="6">
        <f>IF($C312="","",ROUND(INDEX(AllDurs,MATCH($C312,AllNames,0))/60,1))</f>
        <v/>
      </c>
      <c r="E312" s="6" t="inlineStr"/>
      <c r="F312" s="8" t="n"/>
    </row>
    <row r="313" ht="18" customHeight="1">
      <c r="A313" s="6" t="inlineStr"/>
      <c r="B313" s="6" t="inlineStr"/>
      <c r="C313" s="7" t="inlineStr"/>
      <c r="D313" s="6">
        <f>IF($C313="","",ROUND(INDEX(AllDurs,MATCH($C313,AllNames,0))/60,1))</f>
        <v/>
      </c>
      <c r="E313" s="6" t="inlineStr"/>
      <c r="F313" s="8" t="n"/>
    </row>
    <row r="314" ht="18" customHeight="1">
      <c r="A314" s="6" t="inlineStr"/>
      <c r="B314" s="6" t="inlineStr"/>
      <c r="C314" s="7" t="inlineStr"/>
      <c r="D314" s="6" t="inlineStr"/>
      <c r="E314" s="6" t="inlineStr"/>
      <c r="F314" s="8" t="n"/>
    </row>
    <row r="315" ht="20" customHeight="1">
      <c r="A315" s="8" t="n"/>
      <c r="B315" s="9" t="inlineStr">
        <is>
          <t>当日已看时长</t>
        </is>
      </c>
      <c r="C315" s="13" t="n"/>
      <c r="D315" s="14">
        <f>SUMIF($A$305:$A$314,1,$D$305:$D$314)</f>
        <v/>
      </c>
      <c r="E315" s="10" t="n"/>
      <c r="F315" s="10" t="n"/>
    </row>
    <row r="316" ht="22" customHeight="1">
      <c r="A316" s="4" t="n"/>
      <c r="B316" s="5" t="inlineStr">
        <is>
          <t>第27天</t>
        </is>
      </c>
      <c r="C316" s="13" t="n"/>
      <c r="D316" s="4">
        <f>IF($C316="","",ROUND(INDEX(AllDurs,MATCH($C316,AllNames,0))/60,1))</f>
        <v/>
      </c>
      <c r="E316" s="4" t="n"/>
    </row>
    <row r="317" ht="18" customHeight="1">
      <c r="A317" s="6" t="inlineStr"/>
      <c r="B317" s="6" t="inlineStr"/>
      <c r="C317" s="7" t="inlineStr"/>
      <c r="D317" s="6">
        <f>IF($C317="","",ROUND(INDEX(AllDurs,MATCH($C317,AllNames,0))/60,1))</f>
        <v/>
      </c>
      <c r="E317" s="6" t="inlineStr"/>
      <c r="F317" s="8" t="n"/>
    </row>
    <row r="318" ht="18" customHeight="1">
      <c r="A318" s="6" t="inlineStr"/>
      <c r="B318" s="6" t="inlineStr"/>
      <c r="C318" s="7" t="inlineStr"/>
      <c r="D318" s="6">
        <f>IF($C318="","",ROUND(INDEX(AllDurs,MATCH($C318,AllNames,0))/60,1))</f>
        <v/>
      </c>
      <c r="E318" s="6" t="inlineStr"/>
      <c r="F318" s="8" t="n"/>
    </row>
    <row r="319" ht="18" customHeight="1">
      <c r="A319" s="6" t="inlineStr"/>
      <c r="B319" s="6" t="inlineStr"/>
      <c r="C319" s="7" t="inlineStr"/>
      <c r="D319" s="6">
        <f>IF($C319="","",ROUND(INDEX(AllDurs,MATCH($C319,AllNames,0))/60,1))</f>
        <v/>
      </c>
      <c r="E319" s="6" t="inlineStr"/>
      <c r="F319" s="8" t="n"/>
    </row>
    <row r="320" ht="18" customHeight="1">
      <c r="A320" s="6" t="inlineStr"/>
      <c r="B320" s="6" t="inlineStr"/>
      <c r="C320" s="7" t="inlineStr"/>
      <c r="D320" s="6">
        <f>IF($C320="","",ROUND(INDEX(AllDurs,MATCH($C320,AllNames,0))/60,1))</f>
        <v/>
      </c>
      <c r="E320" s="6" t="inlineStr"/>
      <c r="F320" s="8" t="n"/>
    </row>
    <row r="321" ht="18" customHeight="1">
      <c r="A321" s="6" t="inlineStr"/>
      <c r="B321" s="6" t="inlineStr"/>
      <c r="C321" s="7" t="inlineStr"/>
      <c r="D321" s="6">
        <f>IF($C321="","",ROUND(INDEX(AllDurs,MATCH($C321,AllNames,0))/60,1))</f>
        <v/>
      </c>
      <c r="E321" s="6" t="inlineStr"/>
      <c r="F321" s="8" t="n"/>
    </row>
    <row r="322" ht="18" customHeight="1">
      <c r="A322" s="6" t="inlineStr"/>
      <c r="B322" s="6" t="inlineStr"/>
      <c r="C322" s="7" t="inlineStr"/>
      <c r="D322" s="6">
        <f>IF($C322="","",ROUND(INDEX(AllDurs,MATCH($C322,AllNames,0))/60,1))</f>
        <v/>
      </c>
      <c r="E322" s="6" t="inlineStr"/>
      <c r="F322" s="8" t="n"/>
    </row>
    <row r="323" ht="18" customHeight="1">
      <c r="A323" s="6" t="inlineStr"/>
      <c r="B323" s="6" t="inlineStr"/>
      <c r="C323" s="7" t="inlineStr"/>
      <c r="D323" s="6">
        <f>IF($C323="","",ROUND(INDEX(AllDurs,MATCH($C323,AllNames,0))/60,1))</f>
        <v/>
      </c>
      <c r="E323" s="6" t="inlineStr"/>
      <c r="F323" s="8" t="n"/>
    </row>
    <row r="324" ht="18" customHeight="1">
      <c r="A324" s="6" t="inlineStr"/>
      <c r="B324" s="6" t="inlineStr"/>
      <c r="C324" s="7" t="inlineStr"/>
      <c r="D324" s="6">
        <f>IF($C324="","",ROUND(INDEX(AllDurs,MATCH($C324,AllNames,0))/60,1))</f>
        <v/>
      </c>
      <c r="E324" s="6" t="inlineStr"/>
      <c r="F324" s="8" t="n"/>
    </row>
    <row r="325" ht="18" customHeight="1">
      <c r="A325" s="6" t="inlineStr"/>
      <c r="B325" s="6" t="inlineStr"/>
      <c r="C325" s="7" t="inlineStr"/>
      <c r="D325" s="6">
        <f>IF($C325="","",ROUND(INDEX(AllDurs,MATCH($C325,AllNames,0))/60,1))</f>
        <v/>
      </c>
      <c r="E325" s="6" t="inlineStr"/>
      <c r="F325" s="8" t="n"/>
    </row>
    <row r="326" ht="18" customHeight="1">
      <c r="A326" s="6" t="inlineStr"/>
      <c r="B326" s="6" t="inlineStr"/>
      <c r="C326" s="7" t="inlineStr"/>
      <c r="D326" s="6" t="inlineStr"/>
      <c r="E326" s="6" t="inlineStr"/>
      <c r="F326" s="8" t="n"/>
    </row>
    <row r="327" ht="20" customHeight="1">
      <c r="A327" s="8" t="n"/>
      <c r="B327" s="9" t="inlineStr">
        <is>
          <t>当日已看时长</t>
        </is>
      </c>
      <c r="C327" s="13" t="n"/>
      <c r="D327" s="14">
        <f>SUMIF($A$317:$A$326,1,$D$317:$D$326)</f>
        <v/>
      </c>
      <c r="E327" s="10" t="n"/>
      <c r="F327" s="10" t="n"/>
    </row>
    <row r="328" ht="22" customHeight="1">
      <c r="A328" s="4" t="n"/>
      <c r="B328" s="5" t="inlineStr">
        <is>
          <t>第28天</t>
        </is>
      </c>
      <c r="C328" s="13" t="n"/>
      <c r="D328" s="4">
        <f>IF($C328="","",ROUND(INDEX(AllDurs,MATCH($C328,AllNames,0))/60,1))</f>
        <v/>
      </c>
      <c r="E328" s="4" t="n"/>
    </row>
    <row r="329" ht="18" customHeight="1">
      <c r="A329" s="6" t="inlineStr"/>
      <c r="B329" s="6" t="inlineStr"/>
      <c r="C329" s="7" t="inlineStr"/>
      <c r="D329" s="6">
        <f>IF($C329="","",ROUND(INDEX(AllDurs,MATCH($C329,AllNames,0))/60,1))</f>
        <v/>
      </c>
      <c r="E329" s="6" t="inlineStr"/>
      <c r="F329" s="8" t="n"/>
    </row>
    <row r="330" ht="18" customHeight="1">
      <c r="A330" s="6" t="inlineStr"/>
      <c r="B330" s="6" t="inlineStr"/>
      <c r="C330" s="7" t="inlineStr"/>
      <c r="D330" s="6">
        <f>IF($C330="","",ROUND(INDEX(AllDurs,MATCH($C330,AllNames,0))/60,1))</f>
        <v/>
      </c>
      <c r="E330" s="6" t="inlineStr"/>
      <c r="F330" s="8" t="n"/>
    </row>
    <row r="331" ht="18" customHeight="1">
      <c r="A331" s="6" t="inlineStr"/>
      <c r="B331" s="6" t="inlineStr"/>
      <c r="C331" s="7" t="inlineStr"/>
      <c r="D331" s="6">
        <f>IF($C331="","",ROUND(INDEX(AllDurs,MATCH($C331,AllNames,0))/60,1))</f>
        <v/>
      </c>
      <c r="E331" s="6" t="inlineStr"/>
      <c r="F331" s="8" t="n"/>
    </row>
    <row r="332" ht="18" customHeight="1">
      <c r="A332" s="6" t="inlineStr"/>
      <c r="B332" s="6" t="inlineStr"/>
      <c r="C332" s="7" t="inlineStr"/>
      <c r="D332" s="6">
        <f>IF($C332="","",ROUND(INDEX(AllDurs,MATCH($C332,AllNames,0))/60,1))</f>
        <v/>
      </c>
      <c r="E332" s="6" t="inlineStr"/>
      <c r="F332" s="8" t="n"/>
    </row>
    <row r="333" ht="18" customHeight="1">
      <c r="A333" s="6" t="inlineStr"/>
      <c r="B333" s="6" t="inlineStr"/>
      <c r="C333" s="7" t="inlineStr"/>
      <c r="D333" s="6">
        <f>IF($C333="","",ROUND(INDEX(AllDurs,MATCH($C333,AllNames,0))/60,1))</f>
        <v/>
      </c>
      <c r="E333" s="6" t="inlineStr"/>
      <c r="F333" s="8" t="n"/>
    </row>
    <row r="334" ht="18" customHeight="1">
      <c r="A334" s="6" t="inlineStr"/>
      <c r="B334" s="6" t="inlineStr"/>
      <c r="C334" s="7" t="inlineStr"/>
      <c r="D334" s="6">
        <f>IF($C334="","",ROUND(INDEX(AllDurs,MATCH($C334,AllNames,0))/60,1))</f>
        <v/>
      </c>
      <c r="E334" s="6" t="inlineStr"/>
      <c r="F334" s="8" t="n"/>
    </row>
    <row r="335" ht="18" customHeight="1">
      <c r="A335" s="6" t="inlineStr"/>
      <c r="B335" s="6" t="inlineStr"/>
      <c r="C335" s="7" t="inlineStr"/>
      <c r="D335" s="6">
        <f>IF($C335="","",ROUND(INDEX(AllDurs,MATCH($C335,AllNames,0))/60,1))</f>
        <v/>
      </c>
      <c r="E335" s="6" t="inlineStr"/>
      <c r="F335" s="8" t="n"/>
    </row>
    <row r="336" ht="18" customHeight="1">
      <c r="A336" s="6" t="inlineStr"/>
      <c r="B336" s="6" t="inlineStr"/>
      <c r="C336" s="7" t="inlineStr"/>
      <c r="D336" s="6">
        <f>IF($C336="","",ROUND(INDEX(AllDurs,MATCH($C336,AllNames,0))/60,1))</f>
        <v/>
      </c>
      <c r="E336" s="6" t="inlineStr"/>
      <c r="F336" s="8" t="n"/>
    </row>
    <row r="337" ht="18" customHeight="1">
      <c r="A337" s="6" t="inlineStr"/>
      <c r="B337" s="6" t="inlineStr"/>
      <c r="C337" s="7" t="inlineStr"/>
      <c r="D337" s="6">
        <f>IF($C337="","",ROUND(INDEX(AllDurs,MATCH($C337,AllNames,0))/60,1))</f>
        <v/>
      </c>
      <c r="E337" s="6" t="inlineStr"/>
      <c r="F337" s="8" t="n"/>
    </row>
    <row r="338" ht="18" customHeight="1">
      <c r="A338" s="6" t="inlineStr"/>
      <c r="B338" s="6" t="inlineStr"/>
      <c r="C338" s="7" t="inlineStr"/>
      <c r="D338" s="6" t="inlineStr"/>
      <c r="E338" s="6" t="inlineStr"/>
      <c r="F338" s="8" t="n"/>
    </row>
    <row r="339" ht="20" customHeight="1">
      <c r="A339" s="8" t="n"/>
      <c r="B339" s="9" t="inlineStr">
        <is>
          <t>当日已看时长</t>
        </is>
      </c>
      <c r="C339" s="13" t="n"/>
      <c r="D339" s="14">
        <f>SUMIF($A$329:$A$338,1,$D$329:$D$338)</f>
        <v/>
      </c>
      <c r="E339" s="10" t="n"/>
      <c r="F339" s="10" t="n"/>
    </row>
  </sheetData>
  <mergeCells count="58">
    <mergeCell ref="B135:C135"/>
    <mergeCell ref="B280:C280"/>
    <mergeCell ref="B100:C100"/>
    <mergeCell ref="B327:C327"/>
    <mergeCell ref="B16:C16"/>
    <mergeCell ref="B232:C232"/>
    <mergeCell ref="B208:C208"/>
    <mergeCell ref="B159:C159"/>
    <mergeCell ref="B292:C292"/>
    <mergeCell ref="B27:C27"/>
    <mergeCell ref="B184:C184"/>
    <mergeCell ref="B291:C291"/>
    <mergeCell ref="B220:C220"/>
    <mergeCell ref="B39:C39"/>
    <mergeCell ref="A2:F2"/>
    <mergeCell ref="B52:C52"/>
    <mergeCell ref="B303:C303"/>
    <mergeCell ref="B219:C219"/>
    <mergeCell ref="B195:C195"/>
    <mergeCell ref="B244:C244"/>
    <mergeCell ref="B136:C136"/>
    <mergeCell ref="B111:C111"/>
    <mergeCell ref="B231:C231"/>
    <mergeCell ref="B328:C328"/>
    <mergeCell ref="B88:C88"/>
    <mergeCell ref="B148:C148"/>
    <mergeCell ref="B87:C87"/>
    <mergeCell ref="B171:C171"/>
    <mergeCell ref="B147:C147"/>
    <mergeCell ref="B267:C267"/>
    <mergeCell ref="B112:C112"/>
    <mergeCell ref="B243:C243"/>
    <mergeCell ref="B196:C196"/>
    <mergeCell ref="B172:C172"/>
    <mergeCell ref="B279:C279"/>
    <mergeCell ref="B28:C28"/>
    <mergeCell ref="B339:C339"/>
    <mergeCell ref="B99:C99"/>
    <mergeCell ref="B304:C304"/>
    <mergeCell ref="B40:C40"/>
    <mergeCell ref="B255:C255"/>
    <mergeCell ref="B316:C316"/>
    <mergeCell ref="B183:C183"/>
    <mergeCell ref="B64:C64"/>
    <mergeCell ref="B15:C15"/>
    <mergeCell ref="B124:C124"/>
    <mergeCell ref="B51:C51"/>
    <mergeCell ref="A1:F1"/>
    <mergeCell ref="B76:C76"/>
    <mergeCell ref="B123:C123"/>
    <mergeCell ref="B160:C160"/>
    <mergeCell ref="B207:C207"/>
    <mergeCell ref="B256:C256"/>
    <mergeCell ref="B63:C63"/>
    <mergeCell ref="B268:C268"/>
    <mergeCell ref="B4:C4"/>
    <mergeCell ref="B315:C315"/>
    <mergeCell ref="B75:C75"/>
  </mergeCells>
  <dataValidations count="2">
    <dataValidation sqref="B5:B340" showDropDown="0" showInputMessage="0" showErrorMessage="0" allowBlank="1" type="list">
      <formula1>"组成原理强化,操作系统强化,计网强化,数据结构强化,真题分类"</formula1>
    </dataValidation>
    <dataValidation sqref="C5:C340" showDropDown="0" showInputMessage="0" showErrorMessage="0" allowBlank="1" type="list">
      <formula1>=INDIRECT($B4)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组成原理强化</t>
        </is>
      </c>
      <c r="B1" t="inlineStr">
        <is>
          <t>操作系统强化</t>
        </is>
      </c>
      <c r="C1" t="inlineStr">
        <is>
          <t>计网强化</t>
        </is>
      </c>
      <c r="D1" t="inlineStr">
        <is>
          <t>数据结构强化</t>
        </is>
      </c>
      <c r="E1" t="inlineStr">
        <is>
          <t>真题分类</t>
        </is>
      </c>
    </row>
    <row r="2">
      <c r="A2" t="inlineStr">
        <is>
          <t>27组成原理强化-计算机组成与性能指标专题</t>
        </is>
      </c>
      <c r="B2" t="inlineStr">
        <is>
          <t>27操作系统强化-操作系统概念专题</t>
        </is>
      </c>
      <c r="C2" t="inlineStr">
        <is>
          <t>27计网强化-计算机网络概念与层次结构专题</t>
        </is>
      </c>
      <c r="D2" t="inlineStr">
        <is>
          <t>27数据结构强化-时间复杂度专题</t>
        </is>
      </c>
      <c r="E2" t="inlineStr">
        <is>
          <t>真题分类-计算机系统概述</t>
        </is>
      </c>
      <c r="F2" t="n">
        <v>2235</v>
      </c>
      <c r="G2" t="n">
        <v>2610</v>
      </c>
      <c r="H2" t="n">
        <v>2185</v>
      </c>
      <c r="I2" t="n">
        <v>2425</v>
      </c>
      <c r="J2" t="n">
        <v>532</v>
      </c>
    </row>
    <row r="3">
      <c r="A3" t="inlineStr">
        <is>
          <t>27组成原理强化-计算机组成与性能指标选择题专题</t>
        </is>
      </c>
      <c r="B3" t="inlineStr">
        <is>
          <t>27操作系统强化-系统调用专题</t>
        </is>
      </c>
      <c r="C3" t="inlineStr">
        <is>
          <t>27计网强化-电路，报文与分组交换计算专题</t>
        </is>
      </c>
      <c r="D3" t="inlineStr">
        <is>
          <t>27数据结构强化-顺序表专题</t>
        </is>
      </c>
      <c r="E3" t="inlineStr">
        <is>
          <t>真题分类-计算机性能指标</t>
        </is>
      </c>
      <c r="F3" t="n">
        <v>1560</v>
      </c>
      <c r="G3" t="n">
        <v>1894</v>
      </c>
      <c r="H3" t="n">
        <v>2063</v>
      </c>
      <c r="I3" t="n">
        <v>1952</v>
      </c>
      <c r="J3" t="n">
        <v>1124</v>
      </c>
    </row>
    <row r="4">
      <c r="A4" t="inlineStr">
        <is>
          <t>27组成原理强化-数据的机器级表示专题（上）</t>
        </is>
      </c>
      <c r="B4" t="inlineStr">
        <is>
          <t>27操作系统强化-进程的概念与状态模型专题</t>
        </is>
      </c>
      <c r="C4" t="inlineStr">
        <is>
          <t>27计网强化-物理层专题</t>
        </is>
      </c>
      <c r="D4" t="inlineStr">
        <is>
          <t>27数据结构强化-链表专题</t>
        </is>
      </c>
      <c r="E4" t="inlineStr">
        <is>
          <t>真题分类-整数的表示与运算</t>
        </is>
      </c>
      <c r="F4" t="n">
        <v>1586</v>
      </c>
      <c r="G4" t="n">
        <v>2388</v>
      </c>
      <c r="H4" t="n">
        <v>1829</v>
      </c>
      <c r="I4" t="n">
        <v>1418</v>
      </c>
      <c r="J4" t="n">
        <v>1032</v>
      </c>
    </row>
    <row r="5">
      <c r="A5" t="inlineStr">
        <is>
          <t>27组成原理强化-数据的机器级表示专题（下）</t>
        </is>
      </c>
      <c r="B5" t="inlineStr">
        <is>
          <t>27操作系统强化-进程的切换与调度专题</t>
        </is>
      </c>
      <c r="C5" t="inlineStr">
        <is>
          <t>27计网强化-物理层选择题专题</t>
        </is>
      </c>
      <c r="D5" t="inlineStr">
        <is>
          <t>27数据结构强化-链表选择题专题</t>
        </is>
      </c>
      <c r="E5" t="inlineStr">
        <is>
          <t>真题分类-C语言中的类型转换</t>
        </is>
      </c>
      <c r="F5" t="n">
        <v>3121</v>
      </c>
      <c r="G5" t="n">
        <v>2489</v>
      </c>
      <c r="H5" t="n">
        <v>1607</v>
      </c>
      <c r="I5" t="n">
        <v>2211</v>
      </c>
      <c r="J5" t="n">
        <v>2599</v>
      </c>
    </row>
    <row r="6">
      <c r="A6" t="inlineStr">
        <is>
          <t>27组成原理强化-IEEE754浮点数专题</t>
        </is>
      </c>
      <c r="B6" t="inlineStr">
        <is>
          <t>27操作系统强化-进程间通信专题</t>
        </is>
      </c>
      <c r="C6" t="inlineStr">
        <is>
          <t>27计网强化-封装成帧与PPP协议专题</t>
        </is>
      </c>
      <c r="D6" t="inlineStr">
        <is>
          <t>27数据结构强化-栈专题</t>
        </is>
      </c>
      <c r="E6" t="inlineStr">
        <is>
          <t>真题分类-浮点数的表示与运算</t>
        </is>
      </c>
      <c r="F6" t="n">
        <v>2310</v>
      </c>
      <c r="G6" t="n">
        <v>2393</v>
      </c>
      <c r="H6" t="n">
        <v>1515</v>
      </c>
      <c r="I6" t="n">
        <v>1431</v>
      </c>
      <c r="J6" t="n">
        <v>1770</v>
      </c>
    </row>
    <row r="7">
      <c r="A7" t="inlineStr">
        <is>
          <t>27组成原理强化-IEEE754浮点数选择题专题</t>
        </is>
      </c>
      <c r="B7" t="inlineStr">
        <is>
          <t>27操作系统强化-线程专题</t>
        </is>
      </c>
      <c r="C7" t="inlineStr">
        <is>
          <t>27计网强化-可靠传输与滑动窗口协议专题</t>
        </is>
      </c>
      <c r="D7" t="inlineStr">
        <is>
          <t>27数据结构强化-卡特兰数专题</t>
        </is>
      </c>
      <c r="E7" t="inlineStr">
        <is>
          <t>真题分类-运算方法与运算电路</t>
        </is>
      </c>
      <c r="F7" t="n">
        <v>1841</v>
      </c>
      <c r="G7" t="n">
        <v>1479</v>
      </c>
      <c r="H7" t="n">
        <v>1740</v>
      </c>
      <c r="I7" t="n">
        <v>1367</v>
      </c>
      <c r="J7" t="n">
        <v>1505</v>
      </c>
    </row>
    <row r="8">
      <c r="A8" t="inlineStr">
        <is>
          <t>27组成原理强化-乘除法运算及其电路专题</t>
        </is>
      </c>
      <c r="B8" t="inlineStr">
        <is>
          <t>27操作系统强化-多处理器专题</t>
        </is>
      </c>
      <c r="C8" t="inlineStr">
        <is>
          <t>27计网强化-以太网与CSMA/CD协议专题</t>
        </is>
      </c>
      <c r="D8" t="inlineStr">
        <is>
          <t>27数据结构强化-栈选择题专题</t>
        </is>
      </c>
      <c r="E8" t="inlineStr">
        <is>
          <t>真题分类-DRAM芯片</t>
        </is>
      </c>
      <c r="F8" t="n">
        <v>4822</v>
      </c>
      <c r="G8" t="n">
        <v>2490</v>
      </c>
      <c r="H8" t="n">
        <v>1902</v>
      </c>
      <c r="I8" t="n">
        <v>1292</v>
      </c>
      <c r="J8" t="n">
        <v>768</v>
      </c>
    </row>
    <row r="9">
      <c r="A9" t="inlineStr">
        <is>
          <t>27组成原理强化-数据的表示与运算综合大题专题</t>
        </is>
      </c>
      <c r="B9" t="inlineStr">
        <is>
          <t>27操作系统强化-进程与线程选择题专题(上)</t>
        </is>
      </c>
      <c r="C9" t="inlineStr">
        <is>
          <t>27计网强化-交换机与虚拟局域网VLAN专题</t>
        </is>
      </c>
      <c r="D9" t="inlineStr">
        <is>
          <t>27数据结构强化-队列专题</t>
        </is>
      </c>
      <c r="E9" t="inlineStr">
        <is>
          <t>真题分类-主存储器</t>
        </is>
      </c>
      <c r="F9" t="n">
        <v>3250</v>
      </c>
      <c r="G9" t="n">
        <v>3323</v>
      </c>
      <c r="H9" t="n">
        <v>1877</v>
      </c>
      <c r="I9" t="n">
        <v>1914</v>
      </c>
      <c r="J9" t="n">
        <v>1389</v>
      </c>
    </row>
    <row r="10">
      <c r="A10" t="inlineStr">
        <is>
          <t>27组成原理强化-存储器专题</t>
        </is>
      </c>
      <c r="B10" t="inlineStr">
        <is>
          <t>27操作系统强化-进程与线程选择题专题(下)</t>
        </is>
      </c>
      <c r="C10" t="inlineStr">
        <is>
          <t>27计网强化-无线局域网与CSMA/CA协议专题</t>
        </is>
      </c>
      <c r="D10" t="inlineStr">
        <is>
          <t>27数据结构强化-字符串匹配KMP专题</t>
        </is>
      </c>
      <c r="E10" t="inlineStr">
        <is>
          <t>真题分类-Cache</t>
        </is>
      </c>
      <c r="F10" t="n">
        <v>2508</v>
      </c>
      <c r="G10" t="n">
        <v>1797</v>
      </c>
      <c r="H10" t="n">
        <v>2459</v>
      </c>
      <c r="I10" t="n">
        <v>2192</v>
      </c>
      <c r="J10" t="n">
        <v>6004</v>
      </c>
    </row>
    <row r="11">
      <c r="A11" t="inlineStr">
        <is>
          <t>27组成原理强化-总线专题</t>
        </is>
      </c>
      <c r="B11" t="inlineStr">
        <is>
          <t>27操作系统强化-进程的同步与互斥专题</t>
        </is>
      </c>
      <c r="C11" t="inlineStr">
        <is>
          <t>27计网强化-数据的检错与纠错专题</t>
        </is>
      </c>
      <c r="D11" t="inlineStr">
        <is>
          <t>27数据结构强化-数组与矩阵专题</t>
        </is>
      </c>
      <c r="E11" t="inlineStr">
        <is>
          <t>真题分类-指令格式与数据存储方式</t>
        </is>
      </c>
      <c r="F11" t="n">
        <v>1932</v>
      </c>
      <c r="G11" t="n">
        <v>3354</v>
      </c>
      <c r="H11" t="n">
        <v>2815</v>
      </c>
      <c r="I11" t="n">
        <v>1399</v>
      </c>
      <c r="J11" t="n">
        <v>886</v>
      </c>
    </row>
    <row r="12">
      <c r="A12" t="inlineStr">
        <is>
          <t>27组成原理强化-存储器与总线选择题专题</t>
        </is>
      </c>
      <c r="B12" t="inlineStr">
        <is>
          <t>27操作系统强化-信号量PV模型专题</t>
        </is>
      </c>
      <c r="C12" t="inlineStr">
        <is>
          <t>27计网强化-数据链路层选择题专题</t>
        </is>
      </c>
      <c r="D12" t="inlineStr">
        <is>
          <t>27数据结构强化-数组与矩阵选择题专题</t>
        </is>
      </c>
      <c r="E12" t="inlineStr">
        <is>
          <t>真题分类-CPU结构与指令执行过程</t>
        </is>
      </c>
      <c r="F12" t="n">
        <v>2036</v>
      </c>
      <c r="G12" t="n">
        <v>2777</v>
      </c>
      <c r="H12" t="n">
        <v>3132</v>
      </c>
      <c r="I12" t="n">
        <v>1914</v>
      </c>
      <c r="J12" t="n">
        <v>2823</v>
      </c>
    </row>
    <row r="13">
      <c r="A13" t="inlineStr">
        <is>
          <t>27组成原理强化-Cache专题</t>
        </is>
      </c>
      <c r="B13" t="inlineStr">
        <is>
          <t>27操作系统强化-信号量PV综合大题专题(上)</t>
        </is>
      </c>
      <c r="C13" t="inlineStr">
        <is>
          <t>27计网强化-IPV4与子网划分专题</t>
        </is>
      </c>
      <c r="D13" t="inlineStr">
        <is>
          <t>27数据结构强化-二叉树的性质与遍历专题</t>
        </is>
      </c>
      <c r="E13" t="inlineStr">
        <is>
          <t>真题分类-指令寻址与数据寻址</t>
        </is>
      </c>
      <c r="F13" t="n">
        <v>2640</v>
      </c>
      <c r="G13" t="n">
        <v>2789</v>
      </c>
      <c r="H13" t="n">
        <v>2241</v>
      </c>
      <c r="I13" t="n">
        <v>2170</v>
      </c>
      <c r="J13" t="n">
        <v>854</v>
      </c>
    </row>
    <row r="14">
      <c r="A14" t="inlineStr">
        <is>
          <t>27组成原理强化-Cache，存储器与总线综合大题专题</t>
        </is>
      </c>
      <c r="B14" t="inlineStr">
        <is>
          <t>27操作系统强化-信号量PV综合大题专题(下)</t>
        </is>
      </c>
      <c r="C14" t="inlineStr">
        <is>
          <t>27计网强化-NAT技术与IPV6专题</t>
        </is>
      </c>
      <c r="D14" t="inlineStr">
        <is>
          <t>27数据结构强化-二叉树的性质与遍历选择题专题</t>
        </is>
      </c>
      <c r="E14" t="inlineStr">
        <is>
          <t>真题分类-数据通路</t>
        </is>
      </c>
      <c r="F14" t="n">
        <v>4802</v>
      </c>
      <c r="G14" t="n">
        <v>2855</v>
      </c>
      <c r="H14" t="n">
        <v>1870</v>
      </c>
      <c r="I14" t="n">
        <v>2439</v>
      </c>
      <c r="J14" t="n">
        <v>4480</v>
      </c>
    </row>
    <row r="15">
      <c r="A15" t="inlineStr">
        <is>
          <t>27组成原理强化-CPU组成与指令寻址专题</t>
        </is>
      </c>
      <c r="B15" t="inlineStr">
        <is>
          <t>27操作系统强化-死锁专题</t>
        </is>
      </c>
      <c r="C15" t="inlineStr">
        <is>
          <t>27计网强化-分组转发流程与ARP协议专题</t>
        </is>
      </c>
      <c r="D15" t="inlineStr">
        <is>
          <t>27数据结构强化-线索二叉树，树与森林专题</t>
        </is>
      </c>
      <c r="E15" t="inlineStr">
        <is>
          <t>真题分类-控制器与中断</t>
        </is>
      </c>
      <c r="F15" t="n">
        <v>2018</v>
      </c>
      <c r="G15" t="n">
        <v>2269</v>
      </c>
      <c r="H15" t="n">
        <v>1731</v>
      </c>
      <c r="I15" t="n">
        <v>1452</v>
      </c>
      <c r="J15" t="n">
        <v>1318</v>
      </c>
    </row>
    <row r="16">
      <c r="A16" t="inlineStr">
        <is>
          <t>27组成原理强化-CPU组成与指令寻址选择题专题</t>
        </is>
      </c>
      <c r="B16" t="inlineStr">
        <is>
          <t>27操作系统强化-死锁选择题专题</t>
        </is>
      </c>
      <c r="C16" t="inlineStr">
        <is>
          <t>27计网强化-路由器与SDN专题</t>
        </is>
      </c>
      <c r="D16" t="inlineStr">
        <is>
          <t>27数据结构强化-线索二叉树，树与森林选择题专题</t>
        </is>
      </c>
      <c r="E16" t="inlineStr">
        <is>
          <t>真题分类-指令流水线</t>
        </is>
      </c>
      <c r="F16" t="n">
        <v>1451</v>
      </c>
      <c r="G16" t="n">
        <v>2134</v>
      </c>
      <c r="H16" t="n">
        <v>2301</v>
      </c>
      <c r="I16" t="n">
        <v>1568</v>
      </c>
      <c r="J16" t="n">
        <v>2759</v>
      </c>
    </row>
    <row r="17">
      <c r="A17" t="inlineStr">
        <is>
          <t>27组成原理强化-单总线多周期数据通路专题</t>
        </is>
      </c>
      <c r="B17" t="inlineStr">
        <is>
          <t>27操作系统强化-管程专题</t>
        </is>
      </c>
      <c r="C17" t="inlineStr">
        <is>
          <t>27计网强化-路由协议专题</t>
        </is>
      </c>
      <c r="D17" t="inlineStr">
        <is>
          <t>27数据结构强化-树的应用专题</t>
        </is>
      </c>
      <c r="E17" t="inlineStr">
        <is>
          <t>真题分类-总线</t>
        </is>
      </c>
      <c r="F17" t="n">
        <v>2224</v>
      </c>
      <c r="G17" t="n">
        <v>1169</v>
      </c>
      <c r="H17" t="n">
        <v>3350</v>
      </c>
      <c r="I17" t="n">
        <v>2159</v>
      </c>
      <c r="J17" t="n">
        <v>1420</v>
      </c>
    </row>
    <row r="18">
      <c r="A18" t="inlineStr">
        <is>
          <t>27组成原理强化-MIPS与单周期数据通路专题</t>
        </is>
      </c>
      <c r="B18" t="inlineStr">
        <is>
          <t>27操作系统强化-程序的链接与装入专题</t>
        </is>
      </c>
      <c r="C18" t="inlineStr">
        <is>
          <t>27计网强化-网络层选择题专题(上)</t>
        </is>
      </c>
      <c r="D18" t="inlineStr">
        <is>
          <t>27数据结构强化-树的应用选择题专题</t>
        </is>
      </c>
      <c r="E18" t="inlineStr">
        <is>
          <t>真题分类-IO接口与IO方式</t>
        </is>
      </c>
      <c r="F18" t="n">
        <v>2849</v>
      </c>
      <c r="G18" t="n">
        <v>1995</v>
      </c>
      <c r="H18" t="n">
        <v>2856</v>
      </c>
      <c r="I18" t="n">
        <v>1872</v>
      </c>
      <c r="J18" t="n">
        <v>3372</v>
      </c>
    </row>
    <row r="19">
      <c r="A19" t="inlineStr">
        <is>
          <t>27组成原理强化-数据通路综合大题专题</t>
        </is>
      </c>
      <c r="B19" t="inlineStr">
        <is>
          <t>27操作系统强化-连续分配方式专题</t>
        </is>
      </c>
      <c r="C19" t="inlineStr">
        <is>
          <t>27计网强化-网络层选择题专题(下)</t>
        </is>
      </c>
      <c r="D19" t="inlineStr">
        <is>
          <t>27数据结构强化-树的应用综合大题专题</t>
        </is>
      </c>
      <c r="E19" t="inlineStr">
        <is>
          <t>真题分类-操作系统概念(上)</t>
        </is>
      </c>
      <c r="F19" t="n">
        <v>3696</v>
      </c>
      <c r="G19" t="n">
        <v>2527</v>
      </c>
      <c r="H19" t="n">
        <v>2627</v>
      </c>
      <c r="I19" t="n">
        <v>2421</v>
      </c>
      <c r="J19" t="n">
        <v>881</v>
      </c>
    </row>
    <row r="20">
      <c r="A20" t="inlineStr">
        <is>
          <t>27组成原理强化-MIPS指令流水线及其数据通路专题</t>
        </is>
      </c>
      <c r="B20" t="inlineStr">
        <is>
          <t>27操作系统强化-非连续分配方式专题</t>
        </is>
      </c>
      <c r="C20" t="inlineStr">
        <is>
          <t>27计网强化-网络层综合大题专题</t>
        </is>
      </c>
      <c r="D20" t="inlineStr">
        <is>
          <t>27数据结构强化-图的概念与存储专题</t>
        </is>
      </c>
      <c r="E20" t="inlineStr">
        <is>
          <t>真题分类-操作系统概念(下)</t>
        </is>
      </c>
      <c r="F20" t="n">
        <v>4352</v>
      </c>
      <c r="G20" t="n">
        <v>2620</v>
      </c>
      <c r="H20" t="n">
        <v>2934</v>
      </c>
      <c r="I20" t="n">
        <v>3013</v>
      </c>
      <c r="J20" t="n">
        <v>991</v>
      </c>
    </row>
    <row r="21">
      <c r="A21" t="inlineStr">
        <is>
          <t>27组成原理强化-指令流水线选择题专题</t>
        </is>
      </c>
      <c r="B21" t="inlineStr">
        <is>
          <t>27操作系统强化-虚拟存储器专题</t>
        </is>
      </c>
      <c r="C21" t="inlineStr">
        <is>
          <t>27计网强化-传输层概念与UDP协议专题</t>
        </is>
      </c>
      <c r="D21" t="inlineStr">
        <is>
          <t>27数据结构强化-图的概念与存储选择题专题</t>
        </is>
      </c>
      <c r="E21" t="inlineStr">
        <is>
          <t>真题分类-进程与线程</t>
        </is>
      </c>
      <c r="F21" t="n">
        <v>2561</v>
      </c>
      <c r="G21" t="n">
        <v>3298</v>
      </c>
      <c r="H21" t="n">
        <v>1771</v>
      </c>
      <c r="I21" t="n">
        <v>1964</v>
      </c>
      <c r="J21" t="n">
        <v>1032</v>
      </c>
    </row>
    <row r="22">
      <c r="A22" t="inlineStr">
        <is>
          <t>27组成原理强化-MIPS与过程调用专题</t>
        </is>
      </c>
      <c r="B22" t="inlineStr">
        <is>
          <t>27操作系统强化-虚拟存储器综合大题专题(上)</t>
        </is>
      </c>
      <c r="C22" t="inlineStr">
        <is>
          <t>27计网强化-TCP首部与TCP连接专题</t>
        </is>
      </c>
      <c r="D22" t="inlineStr">
        <is>
          <t>27数据结构强化-图的遍历专题</t>
        </is>
      </c>
      <c r="E22" t="inlineStr">
        <is>
          <t>真题分类-CPU调度与上下文切换</t>
        </is>
      </c>
      <c r="F22" t="n">
        <v>3872</v>
      </c>
      <c r="G22" t="n">
        <v>2882</v>
      </c>
      <c r="H22" t="n">
        <v>1932</v>
      </c>
      <c r="I22" t="n">
        <v>1247</v>
      </c>
      <c r="J22" t="n">
        <v>1965</v>
      </c>
    </row>
    <row r="23">
      <c r="A23" t="inlineStr">
        <is>
          <t>27组成原理强化-C程序机器级表示综合大题专题</t>
        </is>
      </c>
      <c r="B23" t="inlineStr">
        <is>
          <t>27操作系统强化-虚拟存储器综合大题专题(下)</t>
        </is>
      </c>
      <c r="C23" t="inlineStr">
        <is>
          <t>27计网强化-TCP流量控制与拥塞控制专题</t>
        </is>
      </c>
      <c r="D23" t="inlineStr">
        <is>
          <t>27数据结构强化-最小生成树专题</t>
        </is>
      </c>
      <c r="E23" t="inlineStr">
        <is>
          <t>真题分类-进程的同步与互斥选择题</t>
        </is>
      </c>
      <c r="F23" t="n">
        <v>4603</v>
      </c>
      <c r="G23" t="n">
        <v>4867</v>
      </c>
      <c r="H23" t="n">
        <v>1990</v>
      </c>
      <c r="I23" t="n">
        <v>2021</v>
      </c>
      <c r="J23" t="n">
        <v>1625</v>
      </c>
    </row>
    <row r="24">
      <c r="A24" t="inlineStr">
        <is>
          <t>27组成原理强化-微程序控制器专题</t>
        </is>
      </c>
      <c r="B24" t="inlineStr">
        <is>
          <t>27操作系统强化-文件概念专题</t>
        </is>
      </c>
      <c r="C24" t="inlineStr">
        <is>
          <t>27计网强化-传输层选择题专题</t>
        </is>
      </c>
      <c r="D24" t="inlineStr">
        <is>
          <t>27数据结构强化-最短路径算法专题</t>
        </is>
      </c>
      <c r="E24" t="inlineStr">
        <is>
          <t>真题分类-死锁</t>
        </is>
      </c>
      <c r="F24" t="n">
        <v>2763</v>
      </c>
      <c r="G24" t="n">
        <v>2347</v>
      </c>
      <c r="H24" t="n">
        <v>2599</v>
      </c>
      <c r="I24" t="n">
        <v>2295</v>
      </c>
      <c r="J24" t="n">
        <v>1166</v>
      </c>
    </row>
    <row r="25">
      <c r="A25" t="inlineStr">
        <is>
          <t>27组成原理强化-IO接口与DMA专题</t>
        </is>
      </c>
      <c r="B25" t="inlineStr">
        <is>
          <t>27操作系统强化-open与read系统调用专题</t>
        </is>
      </c>
      <c r="C25" t="inlineStr">
        <is>
          <t>27计网强化-传输层综合大题专题</t>
        </is>
      </c>
      <c r="D25" t="inlineStr">
        <is>
          <t>27数据结构强化-有向无环图的应用专题</t>
        </is>
      </c>
      <c r="E25" t="inlineStr">
        <is>
          <t>真题分类-基本内存管理</t>
        </is>
      </c>
      <c r="F25" t="n">
        <v>3119</v>
      </c>
      <c r="G25" t="n">
        <v>1768</v>
      </c>
      <c r="H25" t="n">
        <v>2256</v>
      </c>
      <c r="I25" t="n">
        <v>2579</v>
      </c>
      <c r="J25" t="n">
        <v>1261</v>
      </c>
    </row>
    <row r="26">
      <c r="A26" t="inlineStr">
        <is>
          <t>27组成原理强化-中断与异常专题</t>
        </is>
      </c>
      <c r="B26" t="inlineStr">
        <is>
          <t>27操作系统强化-虚拟文件系统与内存映射文件专题</t>
        </is>
      </c>
      <c r="C26" t="inlineStr">
        <is>
          <t>27计网强化-DHCP与DNS协议专题</t>
        </is>
      </c>
      <c r="D26" t="inlineStr">
        <is>
          <t>27数据结构强化-图的应用综合大题专题</t>
        </is>
      </c>
      <c r="E26" t="inlineStr">
        <is>
          <t>真题分类-虚拟存储器选择题</t>
        </is>
      </c>
      <c r="F26" t="n">
        <v>3533</v>
      </c>
      <c r="G26" t="n">
        <v>1706</v>
      </c>
      <c r="H26" t="n">
        <v>2381</v>
      </c>
      <c r="I26" t="n">
        <v>3689</v>
      </c>
      <c r="J26" t="n">
        <v>1307</v>
      </c>
    </row>
    <row r="27">
      <c r="A27" t="inlineStr">
        <is>
          <t>27组成原理强化-IO选择题专题</t>
        </is>
      </c>
      <c r="B27" t="inlineStr">
        <is>
          <t>27操作系统强化-空闲空间管理与文件共享专题</t>
        </is>
      </c>
      <c r="C27" t="inlineStr">
        <is>
          <t>27计网强化-FTP协议与电子邮件系统专题</t>
        </is>
      </c>
      <c r="D27" t="inlineStr">
        <is>
          <t>27数据结构强化-顺序与二分查找专题</t>
        </is>
      </c>
      <c r="E27" t="inlineStr">
        <is>
          <t>真题分类-文件管理</t>
        </is>
      </c>
      <c r="F27" t="n">
        <v>3056</v>
      </c>
      <c r="G27" t="n">
        <v>2138</v>
      </c>
      <c r="H27" t="n">
        <v>1371</v>
      </c>
      <c r="I27" t="n">
        <v>1517</v>
      </c>
      <c r="J27" t="n">
        <v>4367</v>
      </c>
    </row>
    <row r="28">
      <c r="A28" t="inlineStr">
        <is>
          <t>27组成原理强化-IO综合大题专题</t>
        </is>
      </c>
      <c r="B28" t="inlineStr">
        <is>
          <t>27操作系统强化-文件系统综合大题专题</t>
        </is>
      </c>
      <c r="C28" t="inlineStr">
        <is>
          <t>27计网强化-HTTP协议专题</t>
        </is>
      </c>
      <c r="D28" t="inlineStr">
        <is>
          <t>27数据结构强化-二叉排序树与平衡二叉树专题</t>
        </is>
      </c>
      <c r="E28" t="inlineStr">
        <is>
          <t>真题分类-目录与文件系统</t>
        </is>
      </c>
      <c r="F28" t="n">
        <v>2305</v>
      </c>
      <c r="G28" t="n">
        <v>3080</v>
      </c>
      <c r="H28" t="n">
        <v>1635</v>
      </c>
      <c r="I28" t="n">
        <v>1913</v>
      </c>
      <c r="J28" t="n">
        <v>813</v>
      </c>
    </row>
    <row r="29">
      <c r="B29" t="inlineStr">
        <is>
          <t>27操作系统强化-IO子系统专题</t>
        </is>
      </c>
      <c r="C29" t="inlineStr">
        <is>
          <t>27计网强化-应用层选择题专题</t>
        </is>
      </c>
      <c r="D29" t="inlineStr">
        <is>
          <t>27数据结构强化-B树专题</t>
        </is>
      </c>
      <c r="E29" t="inlineStr">
        <is>
          <t>真题分类-IO与外存管理</t>
        </is>
      </c>
      <c r="G29" t="n">
        <v>2669</v>
      </c>
      <c r="H29" t="n">
        <v>1991</v>
      </c>
      <c r="I29" t="n">
        <v>2072</v>
      </c>
      <c r="J29" t="n">
        <v>936</v>
      </c>
    </row>
    <row r="30">
      <c r="C30" t="inlineStr">
        <is>
          <t>27计网强化-27考研408强化总结与后续更新计划</t>
        </is>
      </c>
      <c r="D30" t="inlineStr">
        <is>
          <t>27数据结构强化-红黑树的插入与删除专题</t>
        </is>
      </c>
      <c r="E30" t="inlineStr">
        <is>
          <t>真题分类-设备独立性软件</t>
        </is>
      </c>
      <c r="H30" t="n">
        <v>151</v>
      </c>
      <c r="I30" t="n">
        <v>3389</v>
      </c>
      <c r="J30" t="n">
        <v>887</v>
      </c>
    </row>
    <row r="31">
      <c r="D31" t="inlineStr">
        <is>
          <t>27数据结构强化-散列表专题</t>
        </is>
      </c>
      <c r="E31" t="inlineStr">
        <is>
          <t>真题分类-计算机网络体系结构</t>
        </is>
      </c>
      <c r="I31" t="n">
        <v>1679</v>
      </c>
      <c r="J31" t="n">
        <v>482</v>
      </c>
    </row>
    <row r="32">
      <c r="D32" t="inlineStr">
        <is>
          <t>27数据结构强化-查找选择题专题</t>
        </is>
      </c>
      <c r="E32" t="inlineStr">
        <is>
          <t>真题分类-物理层与数据交换计算</t>
        </is>
      </c>
      <c r="I32" t="n">
        <v>3628</v>
      </c>
      <c r="J32" t="n">
        <v>1799</v>
      </c>
    </row>
    <row r="33">
      <c r="D33" t="inlineStr">
        <is>
          <t>27数据结构强化-查找综合大题专题</t>
        </is>
      </c>
      <c r="E33" t="inlineStr">
        <is>
          <t>真题分类-差错检测与滑动窗口协议</t>
        </is>
      </c>
      <c r="I33" t="n">
        <v>2152</v>
      </c>
      <c r="J33" t="n">
        <v>2042</v>
      </c>
    </row>
    <row r="34">
      <c r="D34" t="inlineStr">
        <is>
          <t>27数据结构强化-内部排序专题（上）</t>
        </is>
      </c>
      <c r="E34" t="inlineStr">
        <is>
          <t>真题分类-介质访问控制</t>
        </is>
      </c>
      <c r="I34" t="n">
        <v>1907</v>
      </c>
      <c r="J34" t="n">
        <v>1974</v>
      </c>
    </row>
    <row r="35">
      <c r="D35" t="inlineStr">
        <is>
          <t>27数据结构强化-内部排序专题（下）</t>
        </is>
      </c>
      <c r="E35" t="inlineStr">
        <is>
          <t>真题分类-数据链路层设备</t>
        </is>
      </c>
      <c r="I35" t="n">
        <v>1983</v>
      </c>
      <c r="J35" t="n">
        <v>701</v>
      </c>
    </row>
    <row r="36">
      <c r="D36" t="inlineStr">
        <is>
          <t>27数据结构强化-外部排序专题</t>
        </is>
      </c>
      <c r="E36" t="inlineStr">
        <is>
          <t>真题分类-IPv4协议</t>
        </is>
      </c>
      <c r="I36" t="n">
        <v>2280</v>
      </c>
      <c r="J36" t="n">
        <v>3358</v>
      </c>
    </row>
    <row r="37">
      <c r="D37" t="inlineStr">
        <is>
          <t>27数据结构强化-排序选择题专题</t>
        </is>
      </c>
      <c r="E37" t="inlineStr">
        <is>
          <t>真题分类-网络层设备与路由协议</t>
        </is>
      </c>
      <c r="I37" t="n">
        <v>2967</v>
      </c>
      <c r="J37" t="n">
        <v>3071</v>
      </c>
    </row>
    <row r="38">
      <c r="D38" t="inlineStr">
        <is>
          <t>27数据结构强化-排序综合大题专题</t>
        </is>
      </c>
      <c r="E38" t="inlineStr">
        <is>
          <t>真题分类-UDP与TCP协议</t>
        </is>
      </c>
      <c r="I38" t="n">
        <v>2039</v>
      </c>
      <c r="J38" t="n">
        <v>4161</v>
      </c>
    </row>
    <row r="39">
      <c r="E39" t="inlineStr">
        <is>
          <t>真题分类-应用层协议</t>
        </is>
      </c>
      <c r="J39" t="n">
        <v>2466</v>
      </c>
    </row>
    <row r="40">
      <c r="E40" t="inlineStr">
        <is>
          <t>真题分类-时间复杂度</t>
        </is>
      </c>
      <c r="J40" t="n">
        <v>1056</v>
      </c>
    </row>
    <row r="41">
      <c r="E41" t="inlineStr">
        <is>
          <t>真题分类-线性表</t>
        </is>
      </c>
      <c r="J41" t="n">
        <v>777</v>
      </c>
    </row>
    <row r="42">
      <c r="E42" t="inlineStr">
        <is>
          <t>真题分类-栈</t>
        </is>
      </c>
      <c r="J42" t="n">
        <v>692</v>
      </c>
    </row>
    <row r="43">
      <c r="E43" t="inlineStr">
        <is>
          <t>真题分类-队列</t>
        </is>
      </c>
      <c r="J43" t="n">
        <v>1037</v>
      </c>
    </row>
    <row r="44">
      <c r="E44" t="inlineStr">
        <is>
          <t>真题分类-栈与队列的应用</t>
        </is>
      </c>
      <c r="J44" t="n">
        <v>609</v>
      </c>
    </row>
    <row r="45">
      <c r="E45" t="inlineStr">
        <is>
          <t>真题分类-数组与矩阵</t>
        </is>
      </c>
      <c r="J45" t="n">
        <v>733</v>
      </c>
    </row>
    <row r="46">
      <c r="E46" t="inlineStr">
        <is>
          <t>真题分类-树与二叉树的性质</t>
        </is>
      </c>
      <c r="J46" t="n">
        <v>1240</v>
      </c>
    </row>
    <row r="47">
      <c r="E47" t="inlineStr">
        <is>
          <t>真题分类-二叉树的遍历</t>
        </is>
      </c>
      <c r="J47" t="n">
        <v>1069</v>
      </c>
    </row>
    <row r="48">
      <c r="E48" t="inlineStr">
        <is>
          <t>真题分类-线索二叉树，树与森林</t>
        </is>
      </c>
      <c r="J48" t="n">
        <v>788</v>
      </c>
    </row>
    <row r="49">
      <c r="E49" t="inlineStr">
        <is>
          <t>真题分类-树与二叉树的应用</t>
        </is>
      </c>
      <c r="J49" t="n">
        <v>1957</v>
      </c>
    </row>
    <row r="50">
      <c r="E50" t="inlineStr">
        <is>
          <t>真题分类-图的概念与存储</t>
        </is>
      </c>
      <c r="J50" t="n">
        <v>1334</v>
      </c>
    </row>
    <row r="51">
      <c r="E51" t="inlineStr">
        <is>
          <t>真题分类-图的遍历与拓扑排序</t>
        </is>
      </c>
      <c r="J51" t="n">
        <v>851</v>
      </c>
    </row>
    <row r="52">
      <c r="E52" t="inlineStr">
        <is>
          <t>真题分类-最小生成树与最短路径</t>
        </is>
      </c>
      <c r="J52" t="n">
        <v>936</v>
      </c>
    </row>
    <row r="53">
      <c r="E53" t="inlineStr">
        <is>
          <t>真题分类-关键路径与图的应用</t>
        </is>
      </c>
      <c r="J53" t="n">
        <v>2503</v>
      </c>
    </row>
    <row r="54">
      <c r="E54" t="inlineStr">
        <is>
          <t>真题分类-顺序与二分查找</t>
        </is>
      </c>
      <c r="J54" t="n">
        <v>1313</v>
      </c>
    </row>
    <row r="55">
      <c r="E55" t="inlineStr">
        <is>
          <t>真题分类-二叉排序树与平衡二叉树</t>
        </is>
      </c>
      <c r="J55" t="n">
        <v>1210</v>
      </c>
    </row>
    <row r="56">
      <c r="E56" t="inlineStr">
        <is>
          <t>真题分类-B树与B+树</t>
        </is>
      </c>
      <c r="J56" t="n">
        <v>1397</v>
      </c>
    </row>
    <row r="57">
      <c r="E57" t="inlineStr">
        <is>
          <t>真题分类-字符串匹配</t>
        </is>
      </c>
      <c r="J57" t="n">
        <v>698</v>
      </c>
    </row>
    <row r="58">
      <c r="E58" t="inlineStr">
        <is>
          <t>真题分类-散列表</t>
        </is>
      </c>
      <c r="J58" t="n">
        <v>1451</v>
      </c>
    </row>
    <row r="59">
      <c r="E59" t="inlineStr">
        <is>
          <t>真题分类-插入类与交换类排序</t>
        </is>
      </c>
      <c r="J59" t="n">
        <v>1130</v>
      </c>
    </row>
    <row r="60">
      <c r="E60" t="inlineStr">
        <is>
          <t>真题分类-选择类排序</t>
        </is>
      </c>
      <c r="J60" t="n">
        <v>1097</v>
      </c>
    </row>
    <row r="61">
      <c r="E61" t="inlineStr">
        <is>
          <t>真题分类-归并排序与基数排序</t>
        </is>
      </c>
      <c r="J61" t="n">
        <v>402</v>
      </c>
    </row>
    <row r="62">
      <c r="E62" t="inlineStr">
        <is>
          <t>真题分类-排序综合选择题</t>
        </is>
      </c>
      <c r="J62" t="n">
        <v>847</v>
      </c>
    </row>
    <row r="63">
      <c r="E63" t="inlineStr">
        <is>
          <t>真题分类-外部排序</t>
        </is>
      </c>
      <c r="J63" t="n">
        <v>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视频名称</t>
        </is>
      </c>
      <c r="B1" t="inlineStr">
        <is>
          <t>时长(秒)</t>
        </is>
      </c>
    </row>
    <row r="2">
      <c r="A2" t="inlineStr">
        <is>
          <t>27组成原理强化-计算机组成与性能指标专题</t>
        </is>
      </c>
      <c r="B2" t="n">
        <v>2235</v>
      </c>
    </row>
    <row r="3">
      <c r="A3" t="inlineStr">
        <is>
          <t>27组成原理强化-计算机组成与性能指标选择题专题</t>
        </is>
      </c>
      <c r="B3" t="n">
        <v>1560</v>
      </c>
    </row>
    <row r="4">
      <c r="A4" t="inlineStr">
        <is>
          <t>27组成原理强化-数据的机器级表示专题（上）</t>
        </is>
      </c>
      <c r="B4" t="n">
        <v>1586</v>
      </c>
    </row>
    <row r="5">
      <c r="A5" t="inlineStr">
        <is>
          <t>27组成原理强化-数据的机器级表示专题（下）</t>
        </is>
      </c>
      <c r="B5" t="n">
        <v>3121</v>
      </c>
    </row>
    <row r="6">
      <c r="A6" t="inlineStr">
        <is>
          <t>27组成原理强化-IEEE754浮点数专题</t>
        </is>
      </c>
      <c r="B6" t="n">
        <v>2310</v>
      </c>
    </row>
    <row r="7">
      <c r="A7" t="inlineStr">
        <is>
          <t>27组成原理强化-IEEE754浮点数选择题专题</t>
        </is>
      </c>
      <c r="B7" t="n">
        <v>1841</v>
      </c>
    </row>
    <row r="8">
      <c r="A8" t="inlineStr">
        <is>
          <t>27组成原理强化-乘除法运算及其电路专题</t>
        </is>
      </c>
      <c r="B8" t="n">
        <v>4822</v>
      </c>
    </row>
    <row r="9">
      <c r="A9" t="inlineStr">
        <is>
          <t>27组成原理强化-数据的表示与运算综合大题专题</t>
        </is>
      </c>
      <c r="B9" t="n">
        <v>3250</v>
      </c>
    </row>
    <row r="10">
      <c r="A10" t="inlineStr">
        <is>
          <t>27组成原理强化-存储器专题</t>
        </is>
      </c>
      <c r="B10" t="n">
        <v>2508</v>
      </c>
    </row>
    <row r="11">
      <c r="A11" t="inlineStr">
        <is>
          <t>27组成原理强化-总线专题</t>
        </is>
      </c>
      <c r="B11" t="n">
        <v>1932</v>
      </c>
    </row>
    <row r="12">
      <c r="A12" t="inlineStr">
        <is>
          <t>27组成原理强化-存储器与总线选择题专题</t>
        </is>
      </c>
      <c r="B12" t="n">
        <v>2036</v>
      </c>
    </row>
    <row r="13">
      <c r="A13" t="inlineStr">
        <is>
          <t>27组成原理强化-Cache专题</t>
        </is>
      </c>
      <c r="B13" t="n">
        <v>2640</v>
      </c>
    </row>
    <row r="14">
      <c r="A14" t="inlineStr">
        <is>
          <t>27组成原理强化-Cache，存储器与总线综合大题专题</t>
        </is>
      </c>
      <c r="B14" t="n">
        <v>4802</v>
      </c>
    </row>
    <row r="15">
      <c r="A15" t="inlineStr">
        <is>
          <t>27组成原理强化-CPU组成与指令寻址专题</t>
        </is>
      </c>
      <c r="B15" t="n">
        <v>2018</v>
      </c>
    </row>
    <row r="16">
      <c r="A16" t="inlineStr">
        <is>
          <t>27组成原理强化-CPU组成与指令寻址选择题专题</t>
        </is>
      </c>
      <c r="B16" t="n">
        <v>1451</v>
      </c>
    </row>
    <row r="17">
      <c r="A17" t="inlineStr">
        <is>
          <t>27组成原理强化-单总线多周期数据通路专题</t>
        </is>
      </c>
      <c r="B17" t="n">
        <v>2224</v>
      </c>
    </row>
    <row r="18">
      <c r="A18" t="inlineStr">
        <is>
          <t>27组成原理强化-MIPS与单周期数据通路专题</t>
        </is>
      </c>
      <c r="B18" t="n">
        <v>2849</v>
      </c>
    </row>
    <row r="19">
      <c r="A19" t="inlineStr">
        <is>
          <t>27组成原理强化-数据通路综合大题专题</t>
        </is>
      </c>
      <c r="B19" t="n">
        <v>3696</v>
      </c>
    </row>
    <row r="20">
      <c r="A20" t="inlineStr">
        <is>
          <t>27组成原理强化-MIPS指令流水线及其数据通路专题</t>
        </is>
      </c>
      <c r="B20" t="n">
        <v>4352</v>
      </c>
    </row>
    <row r="21">
      <c r="A21" t="inlineStr">
        <is>
          <t>27组成原理强化-指令流水线选择题专题</t>
        </is>
      </c>
      <c r="B21" t="n">
        <v>2561</v>
      </c>
    </row>
    <row r="22">
      <c r="A22" t="inlineStr">
        <is>
          <t>27组成原理强化-MIPS与过程调用专题</t>
        </is>
      </c>
      <c r="B22" t="n">
        <v>3872</v>
      </c>
    </row>
    <row r="23">
      <c r="A23" t="inlineStr">
        <is>
          <t>27组成原理强化-C程序机器级表示综合大题专题</t>
        </is>
      </c>
      <c r="B23" t="n">
        <v>4603</v>
      </c>
    </row>
    <row r="24">
      <c r="A24" t="inlineStr">
        <is>
          <t>27组成原理强化-微程序控制器专题</t>
        </is>
      </c>
      <c r="B24" t="n">
        <v>2763</v>
      </c>
    </row>
    <row r="25">
      <c r="A25" t="inlineStr">
        <is>
          <t>27组成原理强化-IO接口与DMA专题</t>
        </is>
      </c>
      <c r="B25" t="n">
        <v>3119</v>
      </c>
    </row>
    <row r="26">
      <c r="A26" t="inlineStr">
        <is>
          <t>27组成原理强化-中断与异常专题</t>
        </is>
      </c>
      <c r="B26" t="n">
        <v>3533</v>
      </c>
    </row>
    <row r="27">
      <c r="A27" t="inlineStr">
        <is>
          <t>27组成原理强化-IO选择题专题</t>
        </is>
      </c>
      <c r="B27" t="n">
        <v>3056</v>
      </c>
    </row>
    <row r="28">
      <c r="A28" t="inlineStr">
        <is>
          <t>27组成原理强化-IO综合大题专题</t>
        </is>
      </c>
      <c r="B28" t="n">
        <v>2305</v>
      </c>
    </row>
    <row r="29">
      <c r="A29" t="inlineStr">
        <is>
          <t>27操作系统强化-操作系统概念专题</t>
        </is>
      </c>
      <c r="B29" t="n">
        <v>2610</v>
      </c>
    </row>
    <row r="30">
      <c r="A30" t="inlineStr">
        <is>
          <t>27操作系统强化-系统调用专题</t>
        </is>
      </c>
      <c r="B30" t="n">
        <v>1894</v>
      </c>
    </row>
    <row r="31">
      <c r="A31" t="inlineStr">
        <is>
          <t>27操作系统强化-进程的概念与状态模型专题</t>
        </is>
      </c>
      <c r="B31" t="n">
        <v>2388</v>
      </c>
    </row>
    <row r="32">
      <c r="A32" t="inlineStr">
        <is>
          <t>27操作系统强化-进程的切换与调度专题</t>
        </is>
      </c>
      <c r="B32" t="n">
        <v>2489</v>
      </c>
    </row>
    <row r="33">
      <c r="A33" t="inlineStr">
        <is>
          <t>27操作系统强化-进程间通信专题</t>
        </is>
      </c>
      <c r="B33" t="n">
        <v>2393</v>
      </c>
    </row>
    <row r="34">
      <c r="A34" t="inlineStr">
        <is>
          <t>27操作系统强化-线程专题</t>
        </is>
      </c>
      <c r="B34" t="n">
        <v>1479</v>
      </c>
    </row>
    <row r="35">
      <c r="A35" t="inlineStr">
        <is>
          <t>27操作系统强化-多处理器专题</t>
        </is>
      </c>
      <c r="B35" t="n">
        <v>2490</v>
      </c>
    </row>
    <row r="36">
      <c r="A36" t="inlineStr">
        <is>
          <t>27操作系统强化-进程与线程选择题专题(上)</t>
        </is>
      </c>
      <c r="B36" t="n">
        <v>3323</v>
      </c>
    </row>
    <row r="37">
      <c r="A37" t="inlineStr">
        <is>
          <t>27操作系统强化-进程与线程选择题专题(下)</t>
        </is>
      </c>
      <c r="B37" t="n">
        <v>1797</v>
      </c>
    </row>
    <row r="38">
      <c r="A38" t="inlineStr">
        <is>
          <t>27操作系统强化-进程的同步与互斥专题</t>
        </is>
      </c>
      <c r="B38" t="n">
        <v>3354</v>
      </c>
    </row>
    <row r="39">
      <c r="A39" t="inlineStr">
        <is>
          <t>27操作系统强化-信号量PV模型专题</t>
        </is>
      </c>
      <c r="B39" t="n">
        <v>2777</v>
      </c>
    </row>
    <row r="40">
      <c r="A40" t="inlineStr">
        <is>
          <t>27操作系统强化-信号量PV综合大题专题(上)</t>
        </is>
      </c>
      <c r="B40" t="n">
        <v>2789</v>
      </c>
    </row>
    <row r="41">
      <c r="A41" t="inlineStr">
        <is>
          <t>27操作系统强化-信号量PV综合大题专题(下)</t>
        </is>
      </c>
      <c r="B41" t="n">
        <v>2855</v>
      </c>
    </row>
    <row r="42">
      <c r="A42" t="inlineStr">
        <is>
          <t>27操作系统强化-死锁专题</t>
        </is>
      </c>
      <c r="B42" t="n">
        <v>2269</v>
      </c>
    </row>
    <row r="43">
      <c r="A43" t="inlineStr">
        <is>
          <t>27操作系统强化-死锁选择题专题</t>
        </is>
      </c>
      <c r="B43" t="n">
        <v>2134</v>
      </c>
    </row>
    <row r="44">
      <c r="A44" t="inlineStr">
        <is>
          <t>27操作系统强化-管程专题</t>
        </is>
      </c>
      <c r="B44" t="n">
        <v>1169</v>
      </c>
    </row>
    <row r="45">
      <c r="A45" t="inlineStr">
        <is>
          <t>27操作系统强化-程序的链接与装入专题</t>
        </is>
      </c>
      <c r="B45" t="n">
        <v>1995</v>
      </c>
    </row>
    <row r="46">
      <c r="A46" t="inlineStr">
        <is>
          <t>27操作系统强化-连续分配方式专题</t>
        </is>
      </c>
      <c r="B46" t="n">
        <v>2527</v>
      </c>
    </row>
    <row r="47">
      <c r="A47" t="inlineStr">
        <is>
          <t>27操作系统强化-非连续分配方式专题</t>
        </is>
      </c>
      <c r="B47" t="n">
        <v>2620</v>
      </c>
    </row>
    <row r="48">
      <c r="A48" t="inlineStr">
        <is>
          <t>27操作系统强化-虚拟存储器专题</t>
        </is>
      </c>
      <c r="B48" t="n">
        <v>3298</v>
      </c>
    </row>
    <row r="49">
      <c r="A49" t="inlineStr">
        <is>
          <t>27操作系统强化-虚拟存储器综合大题专题(上)</t>
        </is>
      </c>
      <c r="B49" t="n">
        <v>2882</v>
      </c>
    </row>
    <row r="50">
      <c r="A50" t="inlineStr">
        <is>
          <t>27操作系统强化-虚拟存储器综合大题专题(下)</t>
        </is>
      </c>
      <c r="B50" t="n">
        <v>4867</v>
      </c>
    </row>
    <row r="51">
      <c r="A51" t="inlineStr">
        <is>
          <t>27操作系统强化-文件概念专题</t>
        </is>
      </c>
      <c r="B51" t="n">
        <v>2347</v>
      </c>
    </row>
    <row r="52">
      <c r="A52" t="inlineStr">
        <is>
          <t>27操作系统强化-open与read系统调用专题</t>
        </is>
      </c>
      <c r="B52" t="n">
        <v>1768</v>
      </c>
    </row>
    <row r="53">
      <c r="A53" t="inlineStr">
        <is>
          <t>27操作系统强化-虚拟文件系统与内存映射文件专题</t>
        </is>
      </c>
      <c r="B53" t="n">
        <v>1706</v>
      </c>
    </row>
    <row r="54">
      <c r="A54" t="inlineStr">
        <is>
          <t>27操作系统强化-空闲空间管理与文件共享专题</t>
        </is>
      </c>
      <c r="B54" t="n">
        <v>2138</v>
      </c>
    </row>
    <row r="55">
      <c r="A55" t="inlineStr">
        <is>
          <t>27操作系统强化-文件系统综合大题专题</t>
        </is>
      </c>
      <c r="B55" t="n">
        <v>3080</v>
      </c>
    </row>
    <row r="56">
      <c r="A56" t="inlineStr">
        <is>
          <t>27操作系统强化-IO子系统专题</t>
        </is>
      </c>
      <c r="B56" t="n">
        <v>2669</v>
      </c>
    </row>
    <row r="57">
      <c r="A57" t="inlineStr">
        <is>
          <t>27计网强化-计算机网络概念与层次结构专题</t>
        </is>
      </c>
      <c r="B57" t="n">
        <v>2185</v>
      </c>
    </row>
    <row r="58">
      <c r="A58" t="inlineStr">
        <is>
          <t>27计网强化-电路，报文与分组交换计算专题</t>
        </is>
      </c>
      <c r="B58" t="n">
        <v>2063</v>
      </c>
    </row>
    <row r="59">
      <c r="A59" t="inlineStr">
        <is>
          <t>27计网强化-物理层专题</t>
        </is>
      </c>
      <c r="B59" t="n">
        <v>1829</v>
      </c>
    </row>
    <row r="60">
      <c r="A60" t="inlineStr">
        <is>
          <t>27计网强化-物理层选择题专题</t>
        </is>
      </c>
      <c r="B60" t="n">
        <v>1607</v>
      </c>
    </row>
    <row r="61">
      <c r="A61" t="inlineStr">
        <is>
          <t>27计网强化-封装成帧与PPP协议专题</t>
        </is>
      </c>
      <c r="B61" t="n">
        <v>1515</v>
      </c>
    </row>
    <row r="62">
      <c r="A62" t="inlineStr">
        <is>
          <t>27计网强化-可靠传输与滑动窗口协议专题</t>
        </is>
      </c>
      <c r="B62" t="n">
        <v>1740</v>
      </c>
    </row>
    <row r="63">
      <c r="A63" t="inlineStr">
        <is>
          <t>27计网强化-以太网与CSMA/CD协议专题</t>
        </is>
      </c>
      <c r="B63" t="n">
        <v>1902</v>
      </c>
    </row>
    <row r="64">
      <c r="A64" t="inlineStr">
        <is>
          <t>27计网强化-交换机与虚拟局域网VLAN专题</t>
        </is>
      </c>
      <c r="B64" t="n">
        <v>1877</v>
      </c>
    </row>
    <row r="65">
      <c r="A65" t="inlineStr">
        <is>
          <t>27计网强化-无线局域网与CSMA/CA协议专题</t>
        </is>
      </c>
      <c r="B65" t="n">
        <v>2459</v>
      </c>
    </row>
    <row r="66">
      <c r="A66" t="inlineStr">
        <is>
          <t>27计网强化-数据的检错与纠错专题</t>
        </is>
      </c>
      <c r="B66" t="n">
        <v>2815</v>
      </c>
    </row>
    <row r="67">
      <c r="A67" t="inlineStr">
        <is>
          <t>27计网强化-数据链路层选择题专题</t>
        </is>
      </c>
      <c r="B67" t="n">
        <v>3132</v>
      </c>
    </row>
    <row r="68">
      <c r="A68" t="inlineStr">
        <is>
          <t>27计网强化-IPV4与子网划分专题</t>
        </is>
      </c>
      <c r="B68" t="n">
        <v>2241</v>
      </c>
    </row>
    <row r="69">
      <c r="A69" t="inlineStr">
        <is>
          <t>27计网强化-NAT技术与IPV6专题</t>
        </is>
      </c>
      <c r="B69" t="n">
        <v>1870</v>
      </c>
    </row>
    <row r="70">
      <c r="A70" t="inlineStr">
        <is>
          <t>27计网强化-分组转发流程与ARP协议专题</t>
        </is>
      </c>
      <c r="B70" t="n">
        <v>1731</v>
      </c>
    </row>
    <row r="71">
      <c r="A71" t="inlineStr">
        <is>
          <t>27计网强化-路由器与SDN专题</t>
        </is>
      </c>
      <c r="B71" t="n">
        <v>2301</v>
      </c>
    </row>
    <row r="72">
      <c r="A72" t="inlineStr">
        <is>
          <t>27计网强化-路由协议专题</t>
        </is>
      </c>
      <c r="B72" t="n">
        <v>3350</v>
      </c>
    </row>
    <row r="73">
      <c r="A73" t="inlineStr">
        <is>
          <t>27计网强化-网络层选择题专题(上)</t>
        </is>
      </c>
      <c r="B73" t="n">
        <v>2856</v>
      </c>
    </row>
    <row r="74">
      <c r="A74" t="inlineStr">
        <is>
          <t>27计网强化-网络层选择题专题(下)</t>
        </is>
      </c>
      <c r="B74" t="n">
        <v>2627</v>
      </c>
    </row>
    <row r="75">
      <c r="A75" t="inlineStr">
        <is>
          <t>27计网强化-网络层综合大题专题</t>
        </is>
      </c>
      <c r="B75" t="n">
        <v>2934</v>
      </c>
    </row>
    <row r="76">
      <c r="A76" t="inlineStr">
        <is>
          <t>27计网强化-传输层概念与UDP协议专题</t>
        </is>
      </c>
      <c r="B76" t="n">
        <v>1771</v>
      </c>
    </row>
    <row r="77">
      <c r="A77" t="inlineStr">
        <is>
          <t>27计网强化-TCP首部与TCP连接专题</t>
        </is>
      </c>
      <c r="B77" t="n">
        <v>1932</v>
      </c>
    </row>
    <row r="78">
      <c r="A78" t="inlineStr">
        <is>
          <t>27计网强化-TCP流量控制与拥塞控制专题</t>
        </is>
      </c>
      <c r="B78" t="n">
        <v>1990</v>
      </c>
    </row>
    <row r="79">
      <c r="A79" t="inlineStr">
        <is>
          <t>27计网强化-传输层选择题专题</t>
        </is>
      </c>
      <c r="B79" t="n">
        <v>2599</v>
      </c>
    </row>
    <row r="80">
      <c r="A80" t="inlineStr">
        <is>
          <t>27计网强化-传输层综合大题专题</t>
        </is>
      </c>
      <c r="B80" t="n">
        <v>2256</v>
      </c>
    </row>
    <row r="81">
      <c r="A81" t="inlineStr">
        <is>
          <t>27计网强化-DHCP与DNS协议专题</t>
        </is>
      </c>
      <c r="B81" t="n">
        <v>2381</v>
      </c>
    </row>
    <row r="82">
      <c r="A82" t="inlineStr">
        <is>
          <t>27计网强化-FTP协议与电子邮件系统专题</t>
        </is>
      </c>
      <c r="B82" t="n">
        <v>1371</v>
      </c>
    </row>
    <row r="83">
      <c r="A83" t="inlineStr">
        <is>
          <t>27计网强化-HTTP协议专题</t>
        </is>
      </c>
      <c r="B83" t="n">
        <v>1635</v>
      </c>
    </row>
    <row r="84">
      <c r="A84" t="inlineStr">
        <is>
          <t>27计网强化-应用层选择题专题</t>
        </is>
      </c>
      <c r="B84" t="n">
        <v>1991</v>
      </c>
    </row>
    <row r="85">
      <c r="A85" t="inlineStr">
        <is>
          <t>27计网强化-27考研408强化总结与后续更新计划</t>
        </is>
      </c>
      <c r="B85" t="n">
        <v>151</v>
      </c>
    </row>
    <row r="86">
      <c r="A86" t="inlineStr">
        <is>
          <t>27数据结构强化-时间复杂度专题</t>
        </is>
      </c>
      <c r="B86" t="n">
        <v>2425</v>
      </c>
    </row>
    <row r="87">
      <c r="A87" t="inlineStr">
        <is>
          <t>27数据结构强化-顺序表专题</t>
        </is>
      </c>
      <c r="B87" t="n">
        <v>1952</v>
      </c>
    </row>
    <row r="88">
      <c r="A88" t="inlineStr">
        <is>
          <t>27数据结构强化-链表专题</t>
        </is>
      </c>
      <c r="B88" t="n">
        <v>1418</v>
      </c>
    </row>
    <row r="89">
      <c r="A89" t="inlineStr">
        <is>
          <t>27数据结构强化-链表选择题专题</t>
        </is>
      </c>
      <c r="B89" t="n">
        <v>2211</v>
      </c>
    </row>
    <row r="90">
      <c r="A90" t="inlineStr">
        <is>
          <t>27数据结构强化-栈专题</t>
        </is>
      </c>
      <c r="B90" t="n">
        <v>1431</v>
      </c>
    </row>
    <row r="91">
      <c r="A91" t="inlineStr">
        <is>
          <t>27数据结构强化-卡特兰数专题</t>
        </is>
      </c>
      <c r="B91" t="n">
        <v>1367</v>
      </c>
    </row>
    <row r="92">
      <c r="A92" t="inlineStr">
        <is>
          <t>27数据结构强化-栈选择题专题</t>
        </is>
      </c>
      <c r="B92" t="n">
        <v>1292</v>
      </c>
    </row>
    <row r="93">
      <c r="A93" t="inlineStr">
        <is>
          <t>27数据结构强化-队列专题</t>
        </is>
      </c>
      <c r="B93" t="n">
        <v>1914</v>
      </c>
    </row>
    <row r="94">
      <c r="A94" t="inlineStr">
        <is>
          <t>27数据结构强化-字符串匹配KMP专题</t>
        </is>
      </c>
      <c r="B94" t="n">
        <v>2192</v>
      </c>
    </row>
    <row r="95">
      <c r="A95" t="inlineStr">
        <is>
          <t>27数据结构强化-数组与矩阵专题</t>
        </is>
      </c>
      <c r="B95" t="n">
        <v>1399</v>
      </c>
    </row>
    <row r="96">
      <c r="A96" t="inlineStr">
        <is>
          <t>27数据结构强化-数组与矩阵选择题专题</t>
        </is>
      </c>
      <c r="B96" t="n">
        <v>1914</v>
      </c>
    </row>
    <row r="97">
      <c r="A97" t="inlineStr">
        <is>
          <t>27数据结构强化-二叉树的性质与遍历专题</t>
        </is>
      </c>
      <c r="B97" t="n">
        <v>2170</v>
      </c>
    </row>
    <row r="98">
      <c r="A98" t="inlineStr">
        <is>
          <t>27数据结构强化-二叉树的性质与遍历选择题专题</t>
        </is>
      </c>
      <c r="B98" t="n">
        <v>2439</v>
      </c>
    </row>
    <row r="99">
      <c r="A99" t="inlineStr">
        <is>
          <t>27数据结构强化-线索二叉树，树与森林专题</t>
        </is>
      </c>
      <c r="B99" t="n">
        <v>1452</v>
      </c>
    </row>
    <row r="100">
      <c r="A100" t="inlineStr">
        <is>
          <t>27数据结构强化-线索二叉树，树与森林选择题专题</t>
        </is>
      </c>
      <c r="B100" t="n">
        <v>1568</v>
      </c>
    </row>
    <row r="101">
      <c r="A101" t="inlineStr">
        <is>
          <t>27数据结构强化-树的应用专题</t>
        </is>
      </c>
      <c r="B101" t="n">
        <v>2159</v>
      </c>
    </row>
    <row r="102">
      <c r="A102" t="inlineStr">
        <is>
          <t>27数据结构强化-树的应用选择题专题</t>
        </is>
      </c>
      <c r="B102" t="n">
        <v>1872</v>
      </c>
    </row>
    <row r="103">
      <c r="A103" t="inlineStr">
        <is>
          <t>27数据结构强化-树的应用综合大题专题</t>
        </is>
      </c>
      <c r="B103" t="n">
        <v>2421</v>
      </c>
    </row>
    <row r="104">
      <c r="A104" t="inlineStr">
        <is>
          <t>27数据结构强化-图的概念与存储专题</t>
        </is>
      </c>
      <c r="B104" t="n">
        <v>3013</v>
      </c>
    </row>
    <row r="105">
      <c r="A105" t="inlineStr">
        <is>
          <t>27数据结构强化-图的概念与存储选择题专题</t>
        </is>
      </c>
      <c r="B105" t="n">
        <v>1964</v>
      </c>
    </row>
    <row r="106">
      <c r="A106" t="inlineStr">
        <is>
          <t>27数据结构强化-图的遍历专题</t>
        </is>
      </c>
      <c r="B106" t="n">
        <v>1247</v>
      </c>
    </row>
    <row r="107">
      <c r="A107" t="inlineStr">
        <is>
          <t>27数据结构强化-最小生成树专题</t>
        </is>
      </c>
      <c r="B107" t="n">
        <v>2021</v>
      </c>
    </row>
    <row r="108">
      <c r="A108" t="inlineStr">
        <is>
          <t>27数据结构强化-最短路径算法专题</t>
        </is>
      </c>
      <c r="B108" t="n">
        <v>2295</v>
      </c>
    </row>
    <row r="109">
      <c r="A109" t="inlineStr">
        <is>
          <t>27数据结构强化-有向无环图的应用专题</t>
        </is>
      </c>
      <c r="B109" t="n">
        <v>2579</v>
      </c>
    </row>
    <row r="110">
      <c r="A110" t="inlineStr">
        <is>
          <t>27数据结构强化-图的应用综合大题专题</t>
        </is>
      </c>
      <c r="B110" t="n">
        <v>3689</v>
      </c>
    </row>
    <row r="111">
      <c r="A111" t="inlineStr">
        <is>
          <t>27数据结构强化-顺序与二分查找专题</t>
        </is>
      </c>
      <c r="B111" t="n">
        <v>1517</v>
      </c>
    </row>
    <row r="112">
      <c r="A112" t="inlineStr">
        <is>
          <t>27数据结构强化-二叉排序树与平衡二叉树专题</t>
        </is>
      </c>
      <c r="B112" t="n">
        <v>1913</v>
      </c>
    </row>
    <row r="113">
      <c r="A113" t="inlineStr">
        <is>
          <t>27数据结构强化-B树专题</t>
        </is>
      </c>
      <c r="B113" t="n">
        <v>2072</v>
      </c>
    </row>
    <row r="114">
      <c r="A114" t="inlineStr">
        <is>
          <t>27数据结构强化-红黑树的插入与删除专题</t>
        </is>
      </c>
      <c r="B114" t="n">
        <v>3389</v>
      </c>
    </row>
    <row r="115">
      <c r="A115" t="inlineStr">
        <is>
          <t>27数据结构强化-散列表专题</t>
        </is>
      </c>
      <c r="B115" t="n">
        <v>1679</v>
      </c>
    </row>
    <row r="116">
      <c r="A116" t="inlineStr">
        <is>
          <t>27数据结构强化-查找选择题专题</t>
        </is>
      </c>
      <c r="B116" t="n">
        <v>3628</v>
      </c>
    </row>
    <row r="117">
      <c r="A117" t="inlineStr">
        <is>
          <t>27数据结构强化-查找综合大题专题</t>
        </is>
      </c>
      <c r="B117" t="n">
        <v>2152</v>
      </c>
    </row>
    <row r="118">
      <c r="A118" t="inlineStr">
        <is>
          <t>27数据结构强化-内部排序专题（上）</t>
        </is>
      </c>
      <c r="B118" t="n">
        <v>1907</v>
      </c>
    </row>
    <row r="119">
      <c r="A119" t="inlineStr">
        <is>
          <t>27数据结构强化-内部排序专题（下）</t>
        </is>
      </c>
      <c r="B119" t="n">
        <v>1983</v>
      </c>
    </row>
    <row r="120">
      <c r="A120" t="inlineStr">
        <is>
          <t>27数据结构强化-外部排序专题</t>
        </is>
      </c>
      <c r="B120" t="n">
        <v>2280</v>
      </c>
    </row>
    <row r="121">
      <c r="A121" t="inlineStr">
        <is>
          <t>27数据结构强化-排序选择题专题</t>
        </is>
      </c>
      <c r="B121" t="n">
        <v>2967</v>
      </c>
    </row>
    <row r="122">
      <c r="A122" t="inlineStr">
        <is>
          <t>27数据结构强化-排序综合大题专题</t>
        </is>
      </c>
      <c r="B122" t="n">
        <v>2039</v>
      </c>
    </row>
    <row r="123">
      <c r="A123" t="inlineStr">
        <is>
          <t>真题分类-计算机系统概述</t>
        </is>
      </c>
      <c r="B123" t="n">
        <v>532</v>
      </c>
    </row>
    <row r="124">
      <c r="A124" t="inlineStr">
        <is>
          <t>真题分类-计算机性能指标</t>
        </is>
      </c>
      <c r="B124" t="n">
        <v>1124</v>
      </c>
    </row>
    <row r="125">
      <c r="A125" t="inlineStr">
        <is>
          <t>真题分类-整数的表示与运算</t>
        </is>
      </c>
      <c r="B125" t="n">
        <v>1032</v>
      </c>
    </row>
    <row r="126">
      <c r="A126" t="inlineStr">
        <is>
          <t>真题分类-C语言中的类型转换</t>
        </is>
      </c>
      <c r="B126" t="n">
        <v>2599</v>
      </c>
    </row>
    <row r="127">
      <c r="A127" t="inlineStr">
        <is>
          <t>真题分类-浮点数的表示与运算</t>
        </is>
      </c>
      <c r="B127" t="n">
        <v>1770</v>
      </c>
    </row>
    <row r="128">
      <c r="A128" t="inlineStr">
        <is>
          <t>真题分类-运算方法与运算电路</t>
        </is>
      </c>
      <c r="B128" t="n">
        <v>1505</v>
      </c>
    </row>
    <row r="129">
      <c r="A129" t="inlineStr">
        <is>
          <t>真题分类-DRAM芯片</t>
        </is>
      </c>
      <c r="B129" t="n">
        <v>768</v>
      </c>
    </row>
    <row r="130">
      <c r="A130" t="inlineStr">
        <is>
          <t>真题分类-主存储器</t>
        </is>
      </c>
      <c r="B130" t="n">
        <v>1389</v>
      </c>
    </row>
    <row r="131">
      <c r="A131" t="inlineStr">
        <is>
          <t>真题分类-Cache</t>
        </is>
      </c>
      <c r="B131" t="n">
        <v>6004</v>
      </c>
    </row>
    <row r="132">
      <c r="A132" t="inlineStr">
        <is>
          <t>真题分类-指令格式与数据存储方式</t>
        </is>
      </c>
      <c r="B132" t="n">
        <v>886</v>
      </c>
    </row>
    <row r="133">
      <c r="A133" t="inlineStr">
        <is>
          <t>真题分类-CPU结构与指令执行过程</t>
        </is>
      </c>
      <c r="B133" t="n">
        <v>2823</v>
      </c>
    </row>
    <row r="134">
      <c r="A134" t="inlineStr">
        <is>
          <t>真题分类-指令寻址与数据寻址</t>
        </is>
      </c>
      <c r="B134" t="n">
        <v>854</v>
      </c>
    </row>
    <row r="135">
      <c r="A135" t="inlineStr">
        <is>
          <t>真题分类-数据通路</t>
        </is>
      </c>
      <c r="B135" t="n">
        <v>4480</v>
      </c>
    </row>
    <row r="136">
      <c r="A136" t="inlineStr">
        <is>
          <t>真题分类-控制器与中断</t>
        </is>
      </c>
      <c r="B136" t="n">
        <v>1318</v>
      </c>
    </row>
    <row r="137">
      <c r="A137" t="inlineStr">
        <is>
          <t>真题分类-指令流水线</t>
        </is>
      </c>
      <c r="B137" t="n">
        <v>2759</v>
      </c>
    </row>
    <row r="138">
      <c r="A138" t="inlineStr">
        <is>
          <t>真题分类-总线</t>
        </is>
      </c>
      <c r="B138" t="n">
        <v>1420</v>
      </c>
    </row>
    <row r="139">
      <c r="A139" t="inlineStr">
        <is>
          <t>真题分类-IO接口与IO方式</t>
        </is>
      </c>
      <c r="B139" t="n">
        <v>3372</v>
      </c>
    </row>
    <row r="140">
      <c r="A140" t="inlineStr">
        <is>
          <t>真题分类-操作系统概念(上)</t>
        </is>
      </c>
      <c r="B140" t="n">
        <v>881</v>
      </c>
    </row>
    <row r="141">
      <c r="A141" t="inlineStr">
        <is>
          <t>真题分类-操作系统概念(下)</t>
        </is>
      </c>
      <c r="B141" t="n">
        <v>991</v>
      </c>
    </row>
    <row r="142">
      <c r="A142" t="inlineStr">
        <is>
          <t>真题分类-进程与线程</t>
        </is>
      </c>
      <c r="B142" t="n">
        <v>1032</v>
      </c>
    </row>
    <row r="143">
      <c r="A143" t="inlineStr">
        <is>
          <t>真题分类-CPU调度与上下文切换</t>
        </is>
      </c>
      <c r="B143" t="n">
        <v>1965</v>
      </c>
    </row>
    <row r="144">
      <c r="A144" t="inlineStr">
        <is>
          <t>真题分类-进程的同步与互斥选择题</t>
        </is>
      </c>
      <c r="B144" t="n">
        <v>1625</v>
      </c>
    </row>
    <row r="145">
      <c r="A145" t="inlineStr">
        <is>
          <t>真题分类-死锁</t>
        </is>
      </c>
      <c r="B145" t="n">
        <v>1166</v>
      </c>
    </row>
    <row r="146">
      <c r="A146" t="inlineStr">
        <is>
          <t>真题分类-基本内存管理</t>
        </is>
      </c>
      <c r="B146" t="n">
        <v>1261</v>
      </c>
    </row>
    <row r="147">
      <c r="A147" t="inlineStr">
        <is>
          <t>真题分类-虚拟存储器选择题</t>
        </is>
      </c>
      <c r="B147" t="n">
        <v>1307</v>
      </c>
    </row>
    <row r="148">
      <c r="A148" t="inlineStr">
        <is>
          <t>真题分类-文件管理</t>
        </is>
      </c>
      <c r="B148" t="n">
        <v>4367</v>
      </c>
    </row>
    <row r="149">
      <c r="A149" t="inlineStr">
        <is>
          <t>真题分类-目录与文件系统</t>
        </is>
      </c>
      <c r="B149" t="n">
        <v>813</v>
      </c>
    </row>
    <row r="150">
      <c r="A150" t="inlineStr">
        <is>
          <t>真题分类-IO与外存管理</t>
        </is>
      </c>
      <c r="B150" t="n">
        <v>936</v>
      </c>
    </row>
    <row r="151">
      <c r="A151" t="inlineStr">
        <is>
          <t>真题分类-设备独立性软件</t>
        </is>
      </c>
      <c r="B151" t="n">
        <v>887</v>
      </c>
    </row>
    <row r="152">
      <c r="A152" t="inlineStr">
        <is>
          <t>真题分类-计算机网络体系结构</t>
        </is>
      </c>
      <c r="B152" t="n">
        <v>482</v>
      </c>
    </row>
    <row r="153">
      <c r="A153" t="inlineStr">
        <is>
          <t>真题分类-物理层与数据交换计算</t>
        </is>
      </c>
      <c r="B153" t="n">
        <v>1799</v>
      </c>
    </row>
    <row r="154">
      <c r="A154" t="inlineStr">
        <is>
          <t>真题分类-差错检测与滑动窗口协议</t>
        </is>
      </c>
      <c r="B154" t="n">
        <v>2042</v>
      </c>
    </row>
    <row r="155">
      <c r="A155" t="inlineStr">
        <is>
          <t>真题分类-介质访问控制</t>
        </is>
      </c>
      <c r="B155" t="n">
        <v>1974</v>
      </c>
    </row>
    <row r="156">
      <c r="A156" t="inlineStr">
        <is>
          <t>真题分类-数据链路层设备</t>
        </is>
      </c>
      <c r="B156" t="n">
        <v>701</v>
      </c>
    </row>
    <row r="157">
      <c r="A157" t="inlineStr">
        <is>
          <t>真题分类-IPv4协议</t>
        </is>
      </c>
      <c r="B157" t="n">
        <v>3358</v>
      </c>
    </row>
    <row r="158">
      <c r="A158" t="inlineStr">
        <is>
          <t>真题分类-网络层设备与路由协议</t>
        </is>
      </c>
      <c r="B158" t="n">
        <v>3071</v>
      </c>
    </row>
    <row r="159">
      <c r="A159" t="inlineStr">
        <is>
          <t>真题分类-UDP与TCP协议</t>
        </is>
      </c>
      <c r="B159" t="n">
        <v>4161</v>
      </c>
    </row>
    <row r="160">
      <c r="A160" t="inlineStr">
        <is>
          <t>真题分类-应用层协议</t>
        </is>
      </c>
      <c r="B160" t="n">
        <v>2466</v>
      </c>
    </row>
    <row r="161">
      <c r="A161" t="inlineStr">
        <is>
          <t>真题分类-时间复杂度</t>
        </is>
      </c>
      <c r="B161" t="n">
        <v>1056</v>
      </c>
    </row>
    <row r="162">
      <c r="A162" t="inlineStr">
        <is>
          <t>真题分类-线性表</t>
        </is>
      </c>
      <c r="B162" t="n">
        <v>777</v>
      </c>
    </row>
    <row r="163">
      <c r="A163" t="inlineStr">
        <is>
          <t>真题分类-栈</t>
        </is>
      </c>
      <c r="B163" t="n">
        <v>692</v>
      </c>
    </row>
    <row r="164">
      <c r="A164" t="inlineStr">
        <is>
          <t>真题分类-队列</t>
        </is>
      </c>
      <c r="B164" t="n">
        <v>1037</v>
      </c>
    </row>
    <row r="165">
      <c r="A165" t="inlineStr">
        <is>
          <t>真题分类-栈与队列的应用</t>
        </is>
      </c>
      <c r="B165" t="n">
        <v>609</v>
      </c>
    </row>
    <row r="166">
      <c r="A166" t="inlineStr">
        <is>
          <t>真题分类-数组与矩阵</t>
        </is>
      </c>
      <c r="B166" t="n">
        <v>733</v>
      </c>
    </row>
    <row r="167">
      <c r="A167" t="inlineStr">
        <is>
          <t>真题分类-树与二叉树的性质</t>
        </is>
      </c>
      <c r="B167" t="n">
        <v>1240</v>
      </c>
    </row>
    <row r="168">
      <c r="A168" t="inlineStr">
        <is>
          <t>真题分类-二叉树的遍历</t>
        </is>
      </c>
      <c r="B168" t="n">
        <v>1069</v>
      </c>
    </row>
    <row r="169">
      <c r="A169" t="inlineStr">
        <is>
          <t>真题分类-线索二叉树，树与森林</t>
        </is>
      </c>
      <c r="B169" t="n">
        <v>788</v>
      </c>
    </row>
    <row r="170">
      <c r="A170" t="inlineStr">
        <is>
          <t>真题分类-树与二叉树的应用</t>
        </is>
      </c>
      <c r="B170" t="n">
        <v>1957</v>
      </c>
    </row>
    <row r="171">
      <c r="A171" t="inlineStr">
        <is>
          <t>真题分类-图的概念与存储</t>
        </is>
      </c>
      <c r="B171" t="n">
        <v>1334</v>
      </c>
    </row>
    <row r="172">
      <c r="A172" t="inlineStr">
        <is>
          <t>真题分类-图的遍历与拓扑排序</t>
        </is>
      </c>
      <c r="B172" t="n">
        <v>851</v>
      </c>
    </row>
    <row r="173">
      <c r="A173" t="inlineStr">
        <is>
          <t>真题分类-最小生成树与最短路径</t>
        </is>
      </c>
      <c r="B173" t="n">
        <v>936</v>
      </c>
    </row>
    <row r="174">
      <c r="A174" t="inlineStr">
        <is>
          <t>真题分类-关键路径与图的应用</t>
        </is>
      </c>
      <c r="B174" t="n">
        <v>2503</v>
      </c>
    </row>
    <row r="175">
      <c r="A175" t="inlineStr">
        <is>
          <t>真题分类-顺序与二分查找</t>
        </is>
      </c>
      <c r="B175" t="n">
        <v>1313</v>
      </c>
    </row>
    <row r="176">
      <c r="A176" t="inlineStr">
        <is>
          <t>真题分类-二叉排序树与平衡二叉树</t>
        </is>
      </c>
      <c r="B176" t="n">
        <v>1210</v>
      </c>
    </row>
    <row r="177">
      <c r="A177" t="inlineStr">
        <is>
          <t>真题分类-B树与B+树</t>
        </is>
      </c>
      <c r="B177" t="n">
        <v>1397</v>
      </c>
    </row>
    <row r="178">
      <c r="A178" t="inlineStr">
        <is>
          <t>真题分类-字符串匹配</t>
        </is>
      </c>
      <c r="B178" t="n">
        <v>698</v>
      </c>
    </row>
    <row r="179">
      <c r="A179" t="inlineStr">
        <is>
          <t>真题分类-散列表</t>
        </is>
      </c>
      <c r="B179" t="n">
        <v>1451</v>
      </c>
    </row>
    <row r="180">
      <c r="A180" t="inlineStr">
        <is>
          <t>真题分类-插入类与交换类排序</t>
        </is>
      </c>
      <c r="B180" t="n">
        <v>1130</v>
      </c>
    </row>
    <row r="181">
      <c r="A181" t="inlineStr">
        <is>
          <t>真题分类-选择类排序</t>
        </is>
      </c>
      <c r="B181" t="n">
        <v>1097</v>
      </c>
    </row>
    <row r="182">
      <c r="A182" t="inlineStr">
        <is>
          <t>真题分类-归并排序与基数排序</t>
        </is>
      </c>
      <c r="B182" t="n">
        <v>402</v>
      </c>
    </row>
    <row r="183">
      <c r="A183" t="inlineStr">
        <is>
          <t>真题分类-排序综合选择题</t>
        </is>
      </c>
      <c r="B183" t="n">
        <v>847</v>
      </c>
    </row>
    <row r="184">
      <c r="A184" t="inlineStr">
        <is>
          <t>真题分类-外部排序</t>
        </is>
      </c>
      <c r="B184" t="n">
        <v>624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1" t="inlineStr">
        <is>
          <t>27考研408强化课 · 自主选课打卡清单 使用说明</t>
        </is>
      </c>
    </row>
    <row r="2">
      <c r="A2" s="12" t="inlineStr"/>
    </row>
    <row r="3">
      <c r="A3" s="11" t="inlineStr">
        <is>
          <t>【核心功能】</t>
        </is>
      </c>
    </row>
    <row r="4">
      <c r="A4" s="12" t="inlineStr">
        <is>
          <t>选科目 → 选视频 → 时长自动带出 → 完成打勾</t>
        </is>
      </c>
    </row>
    <row r="5">
      <c r="A5" s="12" t="inlineStr"/>
    </row>
    <row r="6">
      <c r="A6" s="11" t="inlineStr">
        <is>
          <t>【三步操作】</t>
        </is>
      </c>
    </row>
    <row r="7">
      <c r="A7" s="12" t="inlineStr">
        <is>
          <t>第1步：在B列「科目」单元格点击，从下拉菜单选科目（如：数据结构强化）</t>
        </is>
      </c>
    </row>
    <row r="8">
      <c r="A8" s="12" t="inlineStr">
        <is>
          <t>第2步：在C列「视频名称」单元格点击，下拉会自动只显示该科目的全部视频</t>
        </is>
      </c>
    </row>
    <row r="9">
      <c r="A9" s="12" t="inlineStr">
        <is>
          <t>第3步：选中视频后，D列「时长」会自动带出该视频的分钟数</t>
        </is>
      </c>
    </row>
    <row r="10">
      <c r="A10" s="12" t="inlineStr">
        <is>
          <t>第4步：看完后在A列「完成」里输入 1 即可</t>
        </is>
      </c>
    </row>
    <row r="11">
      <c r="A11" s="12" t="inlineStr"/>
    </row>
    <row r="12">
      <c r="A12" s="11" t="inlineStr">
        <is>
          <t>【自动统计】</t>
        </is>
      </c>
    </row>
    <row r="13">
      <c r="A13" s="12" t="inlineStr">
        <is>
          <t>每个「当日已看时长」会自动汇总当天打了勾的视频时长</t>
        </is>
      </c>
    </row>
    <row r="14">
      <c r="A14" s="12" t="inlineStr">
        <is>
          <t>全部视频总时长约107小时，28天日均约3.8小时</t>
        </is>
      </c>
    </row>
    <row r="15">
      <c r="A15" s="12" t="inlineStr">
        <is>
          <t>每天最多可排10个视频，一般3-5个即可看满4小时</t>
        </is>
      </c>
    </row>
    <row r="16">
      <c r="A16" s="12" t="inlineStr"/>
    </row>
    <row r="17">
      <c r="A17" s="11" t="inlineStr">
        <is>
          <t>【视频库】</t>
        </is>
      </c>
    </row>
    <row r="18">
      <c r="A18" s="12" t="inlineStr">
        <is>
          <t>共184个视频，全部来自B站「就是氧气11」27考研408强化合集</t>
        </is>
      </c>
    </row>
    <row r="19">
      <c r="A19" s="12" t="inlineStr">
        <is>
          <t>含：组成原理强化28集 + 操作系统强化29集 + 计网强化29集 + 数据结构强化37集</t>
        </is>
      </c>
    </row>
    <row r="20">
      <c r="A20" s="12" t="inlineStr">
        <is>
          <t xml:space="preserve">   + 真题分类52集（按科目分组）</t>
        </is>
      </c>
    </row>
    <row r="21">
      <c r="A21" s="12" t="inlineStr">
        <is>
          <t>视频时长均为真实抓取，非估算</t>
        </is>
      </c>
    </row>
    <row r="22">
      <c r="A22" s="12" t="inlineStr"/>
    </row>
    <row r="23">
      <c r="A23" s="11" t="inlineStr">
        <is>
          <t>【科目配色】</t>
        </is>
      </c>
    </row>
    <row r="24">
      <c r="A24" s="12" t="inlineStr">
        <is>
          <t>组成原理强化=蓝，操作系统强化=红，计网强化=绿，数据结构强化=黄，真题分类=紫</t>
        </is>
      </c>
    </row>
    <row r="25">
      <c r="A25" s="12" t="inlineStr"/>
    </row>
    <row r="26">
      <c r="A26" s="11" t="inlineStr">
        <is>
          <t>【提示】</t>
        </is>
      </c>
    </row>
    <row r="27">
      <c r="A27" s="12" t="inlineStr">
        <is>
          <t>辅助表（辅助_视频库、辅助_时长查找）已隐藏，请勿删除</t>
        </is>
      </c>
    </row>
    <row r="28">
      <c r="A28" s="12" t="inlineStr">
        <is>
          <t>若下拉不出现，检查是否选中了有效科目名称</t>
        </is>
      </c>
    </row>
    <row r="29">
      <c r="A29" s="12" t="inlineStr">
        <is>
          <t>真题分类包含四个子科目，选中「真题分类」后可看到全部52集真题视频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2026-10-29T18:13:38Z</dcterms:created>
  <dcterms:modified xmlns:dcterms="http://purl.org/dc/terms/" xmlns:xsi="http://www.w3.org/2001/XMLSchema-instance" xsi:type="dcterms:W3CDTF">2026-10-29T18:14:16Z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{"Label":"1","ContentProducer":"001191440300708461136T1WFUO","ProduceID":"1095ab8816ea3bffea0e9d330579ed83-5wrh","ReservedCode1":"{\"Type\":\" TC260PG\",\"Version\":1,\"Bindings\":[{\"Type\":\"soft\",\"AlgID\":\"sm3\",\"Value\":\"5ea3ce02f82f87832bf6b917c46e5d2baf99129459c67939feb74cb9e2de394b\"},{\"Type\":\"hash\",\"AlgID\":\"sm3\",\"Value\":\"df11ef2f2ccc3a81069e72efe5fbe886d444d0ef20ee002d667a323d4a885477\"}],\"PubSD\":[{\"Type\":\"DS\",\"AlgID\":\"sm2\",\"TBSData\":{\"Type\":\"Binding\",\"BType\":\"hash\"},\"Signature\":\"30460221008558c8b664e65655690ec77688e989f03452140142c889ebf47123b5393bc8ac022100978aba3ee8f4b99cd99a3dead4a5262e7fc0029dfe510b46296eb01e07199300\"},{\"Type\":\"PubKey\",\"AlgID\":\"sm2\",\"KeyValue\":\"0407f79b28a17a752b3aae4305c98b48978213832729a2571850b1310b2bc9fe8fee039ccf25ebfeac27502414d9fcef792d777183c98893d226171c2f7a3289a2\"}],\"Extension\":{\"Timestamp\":1793297704,\"KeyVersion\":\"v1-TxLeOmf7bqU223\"}}","ContentPropagator":"001191440300708461136T1WFUO","PropagateID":"1095ab8816ea3bffea0e9d330579ed83-5wrh","ReservedCode2":"{\"Type\":\" TC260PG\",\"Version\":1,\"Bindings\":[{\"Type\":\"soft\",\"AlgID\":\"sm3\",\"Value\":\"5ea3ce02f82f87832bf6b917c46e5d2baf99129459c67939feb74cb9e2de394b\"},{\"Type\":\"hash\",\"AlgID\":\"sm3\",\"Value\":\"df11ef2f2ccc3a81069e72efe5fbe886d444d0ef20ee002d667a323d4a885477\"}],\"PubSD\":[{\"Type\":\"DS\",\"AlgID\":\"sm2\",\"TBSData\":{\"Type\":\"Binding\",\"BType\":\"hash\"},\"Signature\":\"304402203343858abbe8493a22baf73d9700b3a7af3c8cac70a9a5aef3c16de55e988b5202200d723b7ddd19fe81ff6671f58be1067d2d0584a0b2d2fab15c85ec8e230d6993\"},{\"Type\":\"PubKey\",\"AlgID\":\"sm2\",\"KeyValue\":\"0407f79b28a17a752b3aae4305c98b48978213832729a2571850b1310b2bc9fe8fee039ccf25ebfeac27502414d9fcef792d777183c98893d226171c2f7a3289a2\"}],\"Extension\":{\"Timestamp\":1793297704,\"KeyVersion\":\"v1-TxLeOmf7bqU223\"}}"}</vt:lpwstr>
  </property>
</Properties>
</file>